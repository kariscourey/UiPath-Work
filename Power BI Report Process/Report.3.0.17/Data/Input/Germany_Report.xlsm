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986011\Desktop\UiPath\Report\Report\Data\Input\"/>
    </mc:Choice>
  </mc:AlternateContent>
  <xr:revisionPtr revIDLastSave="0" documentId="13_ncr:1_{EE290D1D-51A5-4B8D-997A-E93049538EED}" xr6:coauthVersionLast="36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Raw Data" sheetId="6" r:id="rId1"/>
    <sheet name="Metrics" sheetId="8" r:id="rId2"/>
  </sheets>
  <definedNames>
    <definedName name="_xlnm._FilterDatabase" localSheetId="0" hidden="1">'Raw Data'!$A$1:$V$1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8" l="1"/>
  <c r="J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2" i="8"/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" i="8"/>
  <c r="A26" i="8"/>
  <c r="A27" i="8"/>
  <c r="A28" i="8"/>
  <c r="A29" i="8"/>
  <c r="L3" i="8" l="1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2" i="8"/>
  <c r="K3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2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2" i="8"/>
</calcChain>
</file>

<file path=xl/sharedStrings.xml><?xml version="1.0" encoding="utf-8"?>
<sst xmlns="http://schemas.openxmlformats.org/spreadsheetml/2006/main" count="34" uniqueCount="34">
  <si>
    <t>Status</t>
  </si>
  <si>
    <t>Exception Type</t>
  </si>
  <si>
    <t>Reason</t>
  </si>
  <si>
    <t>Details</t>
  </si>
  <si>
    <t>Creation Time</t>
  </si>
  <si>
    <t>Date</t>
  </si>
  <si>
    <t>Original Queue</t>
  </si>
  <si>
    <t xml:space="preserve">OEC Update Errors </t>
  </si>
  <si>
    <t xml:space="preserve">Successful </t>
  </si>
  <si>
    <t>SrNumber</t>
  </si>
  <si>
    <t>ParentSRNumber_c</t>
  </si>
  <si>
    <t>QueueName</t>
  </si>
  <si>
    <t>QueueId</t>
  </si>
  <si>
    <t>StatusCdMeaning</t>
  </si>
  <si>
    <t>StatusCd</t>
  </si>
  <si>
    <t>AccountN_c</t>
  </si>
  <si>
    <t>AssigneeResourceNumber</t>
  </si>
  <si>
    <t>CustomerCareRepresentative_c</t>
  </si>
  <si>
    <t>CustomerCareRepresentative_Id_c</t>
  </si>
  <si>
    <t>ManufacturingLocationName_Id_c</t>
  </si>
  <si>
    <t>ManufacturingLocationName_c</t>
  </si>
  <si>
    <t>CategoryId</t>
  </si>
  <si>
    <t>CategoryName</t>
  </si>
  <si>
    <t>AppliedPatch</t>
  </si>
  <si>
    <t>`</t>
  </si>
  <si>
    <t>ParentAccountNumber_c</t>
  </si>
  <si>
    <t>Missing Lookup Queue</t>
  </si>
  <si>
    <t>Account Number is Blank</t>
  </si>
  <si>
    <t>CCR not Found</t>
  </si>
  <si>
    <t xml:space="preserve">Missing Lookup Account </t>
  </si>
  <si>
    <t>CCR Updated</t>
  </si>
  <si>
    <t>Assign To Updated</t>
  </si>
  <si>
    <t>Assign To not Found</t>
  </si>
  <si>
    <t xml:space="preserve">SR Updated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</si>
</sst>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6">
    <xf numFmtId="0" fontId="0" fillId="0" borderId="0" xfId="0" applyNumberFormat="1" applyFill="1" applyAlignment="1" applyProtection="1"/>
    <xf numFmtId="0" fontId="0" fillId="0" borderId="0" xfId="0"/>
    <xf numFmtId="22" fontId="0" fillId="0" borderId="0" xfId="0" applyNumberFormat="1"/>
    <xf numFmtId="0" fontId="1" fillId="0" borderId="0" xfId="0" applyNumberFormat="1" applyFont="1" applyFill="1" applyAlignment="1" applyProtection="1">
      <alignment horizontal="center" vertical="center"/>
    </xf>
    <xf numFmtId="10" fontId="0" fillId="0" borderId="0" xfId="0" applyNumberFormat="1" applyFill="1" applyAlignment="1" applyProtection="1"/>
    <xf numFmtId="14" fontId="0" fillId="0" borderId="0" xfId="0" applyNumberFormat="1" applyFill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2AFBE-266D-4597-90AA-0E3E306C32C1}">
  <sheetPr codeName="Sheet2"/>
  <dimension ref="A1:V444"/>
  <sheetViews>
    <sheetView workbookViewId="0">
      <selection sqref="A1:XFD1"/>
    </sheetView>
  </sheetViews>
  <sheetFormatPr defaultColWidth="8.7265625" defaultRowHeight="14.5" x14ac:dyDescent="0.35"/>
  <cols>
    <col min="1" max="1" width="10.7265625" style="1" bestFit="1" customWidth="1"/>
    <col min="2" max="2" width="9.54296875" style="1" bestFit="1" customWidth="1"/>
    <col min="3" max="3" width="19.1796875" style="1" bestFit="1" customWidth="1"/>
    <col min="4" max="4" width="45.81640625" style="1" bestFit="1" customWidth="1"/>
    <col min="5" max="5" width="6.81640625" style="1" bestFit="1" customWidth="1"/>
    <col min="6" max="6" width="15.54296875" style="1" bestFit="1" customWidth="1"/>
    <col min="7" max="7" width="15.453125" style="1" bestFit="1" customWidth="1"/>
    <col min="8" max="8" width="10.1796875" style="1" bestFit="1" customWidth="1"/>
    <col min="9" max="9" width="11.1796875" style="1" bestFit="1" customWidth="1"/>
    <col min="10" max="10" width="8.26953125" style="1" bestFit="1" customWidth="1"/>
    <col min="11" max="11" width="14.1796875" style="1" bestFit="1" customWidth="1"/>
    <col min="12" max="12" width="8.81640625" style="1" customWidth="1"/>
    <col min="13" max="16384" width="8.7265625" style="1"/>
  </cols>
  <sheetData>
    <row r="1" spans="1:22" x14ac:dyDescent="0.35">
      <c r="A1" s="1" t="s">
        <v>24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9</v>
      </c>
      <c r="H1" s="1" t="s">
        <v>14</v>
      </c>
      <c r="I1" s="1" t="s">
        <v>11</v>
      </c>
      <c r="J1" s="1" t="s">
        <v>12</v>
      </c>
      <c r="K1" s="1" t="s">
        <v>25</v>
      </c>
      <c r="L1" s="1" t="s">
        <v>10</v>
      </c>
      <c r="M1" s="1" t="s">
        <v>17</v>
      </c>
      <c r="N1" s="1" t="s">
        <v>18</v>
      </c>
      <c r="O1" s="1" t="s">
        <v>15</v>
      </c>
      <c r="P1" s="1" t="s">
        <v>19</v>
      </c>
      <c r="Q1" s="1" t="s">
        <v>20</v>
      </c>
      <c r="R1" s="1" t="s">
        <v>21</v>
      </c>
      <c r="S1" s="1" t="s">
        <v>22</v>
      </c>
      <c r="T1" s="1" t="s">
        <v>13</v>
      </c>
      <c r="U1" s="1" t="s">
        <v>16</v>
      </c>
      <c r="V1" s="1" t="s">
        <v>23</v>
      </c>
    </row>
    <row r="2" spans="1:22" x14ac:dyDescent="0.35">
      <c r="F2" s="2"/>
    </row>
    <row r="3" spans="1:22" x14ac:dyDescent="0.35">
      <c r="F3" s="2"/>
    </row>
    <row r="4" spans="1:22" x14ac:dyDescent="0.35">
      <c r="F4" s="2"/>
    </row>
    <row r="5" spans="1:22" x14ac:dyDescent="0.35">
      <c r="F5" s="2"/>
    </row>
    <row r="6" spans="1:22" x14ac:dyDescent="0.35">
      <c r="F6" s="2"/>
    </row>
    <row r="7" spans="1:22" x14ac:dyDescent="0.35">
      <c r="F7" s="2"/>
    </row>
    <row r="8" spans="1:22" x14ac:dyDescent="0.35">
      <c r="F8" s="2"/>
    </row>
    <row r="9" spans="1:22" x14ac:dyDescent="0.35">
      <c r="F9" s="2"/>
    </row>
    <row r="10" spans="1:22" x14ac:dyDescent="0.35">
      <c r="F10" s="2"/>
    </row>
    <row r="11" spans="1:22" x14ac:dyDescent="0.35">
      <c r="F11" s="2"/>
    </row>
    <row r="12" spans="1:22" x14ac:dyDescent="0.35">
      <c r="F12" s="2"/>
    </row>
    <row r="13" spans="1:22" x14ac:dyDescent="0.35">
      <c r="F13" s="2"/>
    </row>
    <row r="14" spans="1:22" x14ac:dyDescent="0.35">
      <c r="F14" s="2"/>
    </row>
    <row r="15" spans="1:22" x14ac:dyDescent="0.35">
      <c r="F15" s="2"/>
    </row>
    <row r="16" spans="1:22" x14ac:dyDescent="0.35">
      <c r="F16" s="2"/>
    </row>
    <row r="17" spans="6:6" x14ac:dyDescent="0.35">
      <c r="F17" s="2"/>
    </row>
    <row r="18" spans="6:6" x14ac:dyDescent="0.35">
      <c r="F18" s="2"/>
    </row>
    <row r="19" spans="6:6" x14ac:dyDescent="0.35">
      <c r="F19" s="2"/>
    </row>
    <row r="20" spans="6:6" x14ac:dyDescent="0.35">
      <c r="F20" s="2"/>
    </row>
    <row r="21" spans="6:6" x14ac:dyDescent="0.35">
      <c r="F21" s="2"/>
    </row>
    <row r="22" spans="6:6" x14ac:dyDescent="0.35">
      <c r="F22" s="2"/>
    </row>
    <row r="23" spans="6:6" x14ac:dyDescent="0.35">
      <c r="F23" s="2"/>
    </row>
    <row r="24" spans="6:6" x14ac:dyDescent="0.35">
      <c r="F24" s="2"/>
    </row>
    <row r="25" spans="6:6" x14ac:dyDescent="0.35">
      <c r="F25" s="2"/>
    </row>
    <row r="26" spans="6:6" x14ac:dyDescent="0.35">
      <c r="F26" s="2"/>
    </row>
    <row r="27" spans="6:6" x14ac:dyDescent="0.35">
      <c r="F27" s="2"/>
    </row>
    <row r="28" spans="6:6" x14ac:dyDescent="0.35">
      <c r="F28" s="2"/>
    </row>
    <row r="29" spans="6:6" x14ac:dyDescent="0.35">
      <c r="F29" s="2"/>
    </row>
    <row r="30" spans="6:6" x14ac:dyDescent="0.35">
      <c r="F30" s="2"/>
    </row>
    <row r="31" spans="6:6" x14ac:dyDescent="0.35">
      <c r="F31" s="2"/>
    </row>
    <row r="32" spans="6:6" x14ac:dyDescent="0.35">
      <c r="F32" s="2"/>
    </row>
    <row r="33" spans="6:6" x14ac:dyDescent="0.35">
      <c r="F33" s="2"/>
    </row>
    <row r="34" spans="6:6" x14ac:dyDescent="0.35">
      <c r="F34" s="2"/>
    </row>
    <row r="35" spans="6:6" x14ac:dyDescent="0.35">
      <c r="F35" s="2"/>
    </row>
    <row r="36" spans="6:6" x14ac:dyDescent="0.35">
      <c r="F36" s="2"/>
    </row>
    <row r="37" spans="6:6" x14ac:dyDescent="0.35">
      <c r="F37" s="2"/>
    </row>
    <row r="38" spans="6:6" x14ac:dyDescent="0.35">
      <c r="F38" s="2"/>
    </row>
    <row r="39" spans="6:6" x14ac:dyDescent="0.35">
      <c r="F39" s="2"/>
    </row>
    <row r="40" spans="6:6" x14ac:dyDescent="0.35">
      <c r="F40" s="2"/>
    </row>
    <row r="41" spans="6:6" x14ac:dyDescent="0.35">
      <c r="F41" s="2"/>
    </row>
    <row r="42" spans="6:6" x14ac:dyDescent="0.35">
      <c r="F42" s="2"/>
    </row>
    <row r="43" spans="6:6" x14ac:dyDescent="0.35">
      <c r="F43" s="2"/>
    </row>
    <row r="44" spans="6:6" x14ac:dyDescent="0.35">
      <c r="F44" s="2"/>
    </row>
    <row r="45" spans="6:6" x14ac:dyDescent="0.35">
      <c r="F45" s="2"/>
    </row>
    <row r="46" spans="6:6" x14ac:dyDescent="0.35">
      <c r="F46" s="2"/>
    </row>
    <row r="47" spans="6:6" x14ac:dyDescent="0.35">
      <c r="F47" s="2"/>
    </row>
    <row r="48" spans="6:6" x14ac:dyDescent="0.35">
      <c r="F48" s="2"/>
    </row>
    <row r="49" spans="6:6" x14ac:dyDescent="0.35">
      <c r="F49" s="2"/>
    </row>
    <row r="50" spans="6:6" x14ac:dyDescent="0.35">
      <c r="F50" s="2"/>
    </row>
    <row r="51" spans="6:6" x14ac:dyDescent="0.35">
      <c r="F51" s="2"/>
    </row>
    <row r="52" spans="6:6" x14ac:dyDescent="0.35">
      <c r="F52" s="2"/>
    </row>
    <row r="53" spans="6:6" x14ac:dyDescent="0.35">
      <c r="F53" s="2"/>
    </row>
    <row r="54" spans="6:6" x14ac:dyDescent="0.35">
      <c r="F54" s="2"/>
    </row>
    <row r="55" spans="6:6" x14ac:dyDescent="0.35">
      <c r="F55" s="2"/>
    </row>
    <row r="56" spans="6:6" x14ac:dyDescent="0.35">
      <c r="F56" s="2"/>
    </row>
    <row r="57" spans="6:6" x14ac:dyDescent="0.35">
      <c r="F57" s="2"/>
    </row>
    <row r="58" spans="6:6" x14ac:dyDescent="0.35">
      <c r="F58" s="2"/>
    </row>
    <row r="59" spans="6:6" x14ac:dyDescent="0.35">
      <c r="F59" s="2"/>
    </row>
    <row r="60" spans="6:6" x14ac:dyDescent="0.35">
      <c r="F60" s="2"/>
    </row>
    <row r="61" spans="6:6" x14ac:dyDescent="0.35">
      <c r="F61" s="2"/>
    </row>
    <row r="62" spans="6:6" x14ac:dyDescent="0.35">
      <c r="F62" s="2"/>
    </row>
    <row r="63" spans="6:6" x14ac:dyDescent="0.35">
      <c r="F63" s="2"/>
    </row>
    <row r="64" spans="6:6" x14ac:dyDescent="0.35">
      <c r="F64" s="2"/>
    </row>
    <row r="65" spans="6:6" x14ac:dyDescent="0.35">
      <c r="F65" s="2"/>
    </row>
    <row r="66" spans="6:6" x14ac:dyDescent="0.35">
      <c r="F66" s="2"/>
    </row>
    <row r="67" spans="6:6" x14ac:dyDescent="0.35">
      <c r="F67" s="2"/>
    </row>
    <row r="68" spans="6:6" x14ac:dyDescent="0.35">
      <c r="F68" s="2"/>
    </row>
    <row r="69" spans="6:6" x14ac:dyDescent="0.35">
      <c r="F69" s="2"/>
    </row>
    <row r="70" spans="6:6" x14ac:dyDescent="0.35">
      <c r="F70" s="2"/>
    </row>
    <row r="71" spans="6:6" x14ac:dyDescent="0.35">
      <c r="F71" s="2"/>
    </row>
    <row r="72" spans="6:6" x14ac:dyDescent="0.35">
      <c r="F72" s="2"/>
    </row>
    <row r="73" spans="6:6" x14ac:dyDescent="0.35">
      <c r="F73" s="2"/>
    </row>
    <row r="74" spans="6:6" x14ac:dyDescent="0.35">
      <c r="F74" s="2"/>
    </row>
    <row r="75" spans="6:6" x14ac:dyDescent="0.35">
      <c r="F75" s="2"/>
    </row>
    <row r="76" spans="6:6" x14ac:dyDescent="0.35">
      <c r="F76" s="2"/>
    </row>
    <row r="77" spans="6:6" x14ac:dyDescent="0.35">
      <c r="F77" s="2"/>
    </row>
    <row r="78" spans="6:6" x14ac:dyDescent="0.35">
      <c r="F78" s="2"/>
    </row>
    <row r="79" spans="6:6" x14ac:dyDescent="0.35">
      <c r="F79" s="2"/>
    </row>
    <row r="80" spans="6:6" x14ac:dyDescent="0.35">
      <c r="F80" s="2"/>
    </row>
    <row r="81" spans="6:6" x14ac:dyDescent="0.35">
      <c r="F81" s="2"/>
    </row>
    <row r="82" spans="6:6" x14ac:dyDescent="0.35">
      <c r="F82" s="2"/>
    </row>
    <row r="83" spans="6:6" x14ac:dyDescent="0.35">
      <c r="F83" s="2"/>
    </row>
    <row r="84" spans="6:6" x14ac:dyDescent="0.35">
      <c r="F84" s="2"/>
    </row>
    <row r="85" spans="6:6" x14ac:dyDescent="0.35">
      <c r="F85" s="2"/>
    </row>
    <row r="86" spans="6:6" x14ac:dyDescent="0.35">
      <c r="F86" s="2"/>
    </row>
    <row r="87" spans="6:6" x14ac:dyDescent="0.35">
      <c r="F87" s="2"/>
    </row>
    <row r="88" spans="6:6" x14ac:dyDescent="0.35">
      <c r="F88" s="2"/>
    </row>
    <row r="89" spans="6:6" x14ac:dyDescent="0.35">
      <c r="F89" s="2"/>
    </row>
    <row r="90" spans="6:6" x14ac:dyDescent="0.35">
      <c r="F90" s="2"/>
    </row>
    <row r="91" spans="6:6" x14ac:dyDescent="0.35">
      <c r="F91" s="2"/>
    </row>
    <row r="92" spans="6:6" x14ac:dyDescent="0.35">
      <c r="F92" s="2"/>
    </row>
    <row r="93" spans="6:6" x14ac:dyDescent="0.35">
      <c r="F93" s="2"/>
    </row>
    <row r="94" spans="6:6" x14ac:dyDescent="0.35">
      <c r="F94" s="2"/>
    </row>
    <row r="95" spans="6:6" x14ac:dyDescent="0.35">
      <c r="F95" s="2"/>
    </row>
    <row r="96" spans="6:6" x14ac:dyDescent="0.35">
      <c r="F96" s="2"/>
    </row>
    <row r="97" spans="6:6" x14ac:dyDescent="0.35">
      <c r="F97" s="2"/>
    </row>
    <row r="98" spans="6:6" x14ac:dyDescent="0.35">
      <c r="F98" s="2"/>
    </row>
    <row r="99" spans="6:6" x14ac:dyDescent="0.35">
      <c r="F99" s="2"/>
    </row>
    <row r="100" spans="6:6" x14ac:dyDescent="0.35">
      <c r="F100" s="2"/>
    </row>
    <row r="101" spans="6:6" x14ac:dyDescent="0.35">
      <c r="F101" s="2"/>
    </row>
    <row r="102" spans="6:6" x14ac:dyDescent="0.35">
      <c r="F102" s="2"/>
    </row>
    <row r="103" spans="6:6" x14ac:dyDescent="0.35">
      <c r="F103" s="2"/>
    </row>
    <row r="104" spans="6:6" x14ac:dyDescent="0.35">
      <c r="F104" s="2"/>
    </row>
    <row r="105" spans="6:6" x14ac:dyDescent="0.35">
      <c r="F105" s="2"/>
    </row>
    <row r="106" spans="6:6" x14ac:dyDescent="0.35">
      <c r="F106" s="2"/>
    </row>
    <row r="107" spans="6:6" x14ac:dyDescent="0.35">
      <c r="F107" s="2"/>
    </row>
    <row r="108" spans="6:6" x14ac:dyDescent="0.35">
      <c r="F108" s="2"/>
    </row>
    <row r="109" spans="6:6" x14ac:dyDescent="0.35">
      <c r="F109" s="2"/>
    </row>
    <row r="110" spans="6:6" x14ac:dyDescent="0.35">
      <c r="F110" s="2"/>
    </row>
    <row r="111" spans="6:6" x14ac:dyDescent="0.35">
      <c r="F111" s="2"/>
    </row>
    <row r="112" spans="6:6" x14ac:dyDescent="0.35">
      <c r="F112" s="2"/>
    </row>
    <row r="113" spans="6:6" x14ac:dyDescent="0.35">
      <c r="F113" s="2"/>
    </row>
    <row r="114" spans="6:6" x14ac:dyDescent="0.35">
      <c r="F114" s="2"/>
    </row>
    <row r="115" spans="6:6" x14ac:dyDescent="0.35">
      <c r="F115" s="2"/>
    </row>
    <row r="116" spans="6:6" x14ac:dyDescent="0.35">
      <c r="F116" s="2"/>
    </row>
    <row r="117" spans="6:6" x14ac:dyDescent="0.35">
      <c r="F117" s="2"/>
    </row>
    <row r="118" spans="6:6" x14ac:dyDescent="0.35">
      <c r="F118" s="2"/>
    </row>
    <row r="119" spans="6:6" x14ac:dyDescent="0.35">
      <c r="F119" s="2"/>
    </row>
    <row r="120" spans="6:6" x14ac:dyDescent="0.35">
      <c r="F120" s="2"/>
    </row>
    <row r="121" spans="6:6" x14ac:dyDescent="0.35">
      <c r="F121" s="2"/>
    </row>
    <row r="122" spans="6:6" x14ac:dyDescent="0.35">
      <c r="F122" s="2"/>
    </row>
    <row r="123" spans="6:6" x14ac:dyDescent="0.35">
      <c r="F123" s="2"/>
    </row>
    <row r="124" spans="6:6" x14ac:dyDescent="0.35">
      <c r="F124" s="2"/>
    </row>
    <row r="125" spans="6:6" x14ac:dyDescent="0.35">
      <c r="F125" s="2"/>
    </row>
    <row r="126" spans="6:6" x14ac:dyDescent="0.35">
      <c r="F126" s="2"/>
    </row>
    <row r="127" spans="6:6" x14ac:dyDescent="0.35">
      <c r="F127" s="2"/>
    </row>
    <row r="128" spans="6:6" x14ac:dyDescent="0.35">
      <c r="F128" s="2"/>
    </row>
    <row r="129" spans="6:6" x14ac:dyDescent="0.35">
      <c r="F129" s="2"/>
    </row>
    <row r="130" spans="6:6" x14ac:dyDescent="0.35">
      <c r="F130" s="2"/>
    </row>
    <row r="131" spans="6:6" x14ac:dyDescent="0.35">
      <c r="F131" s="2"/>
    </row>
    <row r="132" spans="6:6" x14ac:dyDescent="0.35">
      <c r="F132" s="2"/>
    </row>
    <row r="133" spans="6:6" x14ac:dyDescent="0.35">
      <c r="F133" s="2"/>
    </row>
    <row r="134" spans="6:6" x14ac:dyDescent="0.35">
      <c r="F134" s="2"/>
    </row>
    <row r="135" spans="6:6" x14ac:dyDescent="0.35">
      <c r="F135" s="2"/>
    </row>
    <row r="136" spans="6:6" x14ac:dyDescent="0.35">
      <c r="F136" s="2"/>
    </row>
    <row r="137" spans="6:6" x14ac:dyDescent="0.35">
      <c r="F137" s="2"/>
    </row>
    <row r="138" spans="6:6" x14ac:dyDescent="0.35">
      <c r="F138" s="2"/>
    </row>
    <row r="139" spans="6:6" x14ac:dyDescent="0.35">
      <c r="F139" s="2"/>
    </row>
    <row r="140" spans="6:6" x14ac:dyDescent="0.35">
      <c r="F140" s="2"/>
    </row>
    <row r="141" spans="6:6" x14ac:dyDescent="0.35">
      <c r="F141" s="2"/>
    </row>
    <row r="142" spans="6:6" x14ac:dyDescent="0.35">
      <c r="F142" s="2"/>
    </row>
    <row r="143" spans="6:6" x14ac:dyDescent="0.35">
      <c r="F143" s="2"/>
    </row>
    <row r="144" spans="6:6" x14ac:dyDescent="0.35">
      <c r="F144" s="2"/>
    </row>
    <row r="145" spans="6:6" x14ac:dyDescent="0.35">
      <c r="F145" s="2"/>
    </row>
    <row r="146" spans="6:6" x14ac:dyDescent="0.35">
      <c r="F146" s="2"/>
    </row>
    <row r="147" spans="6:6" x14ac:dyDescent="0.35">
      <c r="F147" s="2"/>
    </row>
    <row r="148" spans="6:6" x14ac:dyDescent="0.35">
      <c r="F148" s="2"/>
    </row>
    <row r="149" spans="6:6" x14ac:dyDescent="0.35">
      <c r="F149" s="2"/>
    </row>
    <row r="150" spans="6:6" x14ac:dyDescent="0.35">
      <c r="F150" s="2"/>
    </row>
    <row r="151" spans="6:6" x14ac:dyDescent="0.35">
      <c r="F151" s="2"/>
    </row>
    <row r="152" spans="6:6" x14ac:dyDescent="0.35">
      <c r="F152" s="2"/>
    </row>
    <row r="153" spans="6:6" x14ac:dyDescent="0.35">
      <c r="F153" s="2"/>
    </row>
    <row r="154" spans="6:6" x14ac:dyDescent="0.35">
      <c r="F154" s="2"/>
    </row>
    <row r="155" spans="6:6" x14ac:dyDescent="0.35">
      <c r="F155" s="2"/>
    </row>
    <row r="156" spans="6:6" x14ac:dyDescent="0.35">
      <c r="F156" s="2"/>
    </row>
    <row r="157" spans="6:6" x14ac:dyDescent="0.35">
      <c r="F157" s="2"/>
    </row>
    <row r="158" spans="6:6" x14ac:dyDescent="0.35">
      <c r="F158" s="2"/>
    </row>
    <row r="159" spans="6:6" x14ac:dyDescent="0.35">
      <c r="F159" s="2"/>
    </row>
    <row r="160" spans="6:6" x14ac:dyDescent="0.35">
      <c r="F160" s="2"/>
    </row>
    <row r="161" spans="6:6" x14ac:dyDescent="0.35">
      <c r="F161" s="2"/>
    </row>
    <row r="162" spans="6:6" x14ac:dyDescent="0.35">
      <c r="F162" s="2"/>
    </row>
    <row r="163" spans="6:6" x14ac:dyDescent="0.35">
      <c r="F163" s="2"/>
    </row>
    <row r="164" spans="6:6" x14ac:dyDescent="0.35">
      <c r="F164" s="2"/>
    </row>
    <row r="165" spans="6:6" x14ac:dyDescent="0.35">
      <c r="F165" s="2"/>
    </row>
    <row r="166" spans="6:6" x14ac:dyDescent="0.35">
      <c r="F166" s="2"/>
    </row>
    <row r="167" spans="6:6" x14ac:dyDescent="0.35">
      <c r="F167" s="2"/>
    </row>
    <row r="168" spans="6:6" x14ac:dyDescent="0.35">
      <c r="F168" s="2"/>
    </row>
    <row r="169" spans="6:6" x14ac:dyDescent="0.35">
      <c r="F169" s="2"/>
    </row>
    <row r="170" spans="6:6" x14ac:dyDescent="0.35">
      <c r="F170" s="2"/>
    </row>
    <row r="171" spans="6:6" x14ac:dyDescent="0.35">
      <c r="F171" s="2"/>
    </row>
    <row r="172" spans="6:6" x14ac:dyDescent="0.35">
      <c r="F172" s="2"/>
    </row>
    <row r="173" spans="6:6" x14ac:dyDescent="0.35">
      <c r="F173" s="2"/>
    </row>
    <row r="174" spans="6:6" x14ac:dyDescent="0.35">
      <c r="F174" s="2"/>
    </row>
    <row r="175" spans="6:6" x14ac:dyDescent="0.35">
      <c r="F175" s="2"/>
    </row>
    <row r="176" spans="6:6" x14ac:dyDescent="0.35">
      <c r="F176" s="2"/>
    </row>
    <row r="177" spans="6:6" x14ac:dyDescent="0.35">
      <c r="F177" s="2"/>
    </row>
    <row r="178" spans="6:6" x14ac:dyDescent="0.35">
      <c r="F178" s="2"/>
    </row>
    <row r="179" spans="6:6" x14ac:dyDescent="0.35">
      <c r="F179" s="2"/>
    </row>
    <row r="180" spans="6:6" x14ac:dyDescent="0.35">
      <c r="F180" s="2"/>
    </row>
    <row r="181" spans="6:6" x14ac:dyDescent="0.35">
      <c r="F181" s="2"/>
    </row>
    <row r="182" spans="6:6" x14ac:dyDescent="0.35">
      <c r="F182" s="2"/>
    </row>
    <row r="183" spans="6:6" x14ac:dyDescent="0.35">
      <c r="F183" s="2"/>
    </row>
    <row r="184" spans="6:6" x14ac:dyDescent="0.35">
      <c r="F184" s="2"/>
    </row>
    <row r="185" spans="6:6" x14ac:dyDescent="0.35">
      <c r="F185" s="2"/>
    </row>
    <row r="186" spans="6:6" x14ac:dyDescent="0.35">
      <c r="F186" s="2"/>
    </row>
    <row r="187" spans="6:6" x14ac:dyDescent="0.35">
      <c r="F187" s="2"/>
    </row>
    <row r="188" spans="6:6" x14ac:dyDescent="0.35">
      <c r="F188" s="2"/>
    </row>
    <row r="189" spans="6:6" x14ac:dyDescent="0.35">
      <c r="F189" s="2"/>
    </row>
    <row r="190" spans="6:6" x14ac:dyDescent="0.35">
      <c r="F190" s="2"/>
    </row>
    <row r="191" spans="6:6" x14ac:dyDescent="0.35">
      <c r="F191" s="2"/>
    </row>
    <row r="192" spans="6:6" x14ac:dyDescent="0.35">
      <c r="F192" s="2"/>
    </row>
    <row r="193" spans="6:6" x14ac:dyDescent="0.35">
      <c r="F193" s="2"/>
    </row>
    <row r="194" spans="6:6" x14ac:dyDescent="0.35">
      <c r="F194" s="2"/>
    </row>
    <row r="195" spans="6:6" x14ac:dyDescent="0.35">
      <c r="F195" s="2"/>
    </row>
    <row r="196" spans="6:6" x14ac:dyDescent="0.35">
      <c r="F196" s="2"/>
    </row>
    <row r="197" spans="6:6" x14ac:dyDescent="0.35">
      <c r="F197" s="2"/>
    </row>
    <row r="198" spans="6:6" x14ac:dyDescent="0.35">
      <c r="F198" s="2"/>
    </row>
    <row r="199" spans="6:6" x14ac:dyDescent="0.35">
      <c r="F199" s="2"/>
    </row>
    <row r="200" spans="6:6" x14ac:dyDescent="0.35">
      <c r="F200" s="2"/>
    </row>
    <row r="201" spans="6:6" x14ac:dyDescent="0.35">
      <c r="F201" s="2"/>
    </row>
    <row r="202" spans="6:6" x14ac:dyDescent="0.35">
      <c r="F202" s="2"/>
    </row>
    <row r="203" spans="6:6" x14ac:dyDescent="0.35">
      <c r="F203" s="2"/>
    </row>
    <row r="204" spans="6:6" x14ac:dyDescent="0.35">
      <c r="F204" s="2"/>
    </row>
    <row r="205" spans="6:6" x14ac:dyDescent="0.35">
      <c r="F205" s="2"/>
    </row>
    <row r="206" spans="6:6" x14ac:dyDescent="0.35">
      <c r="F206" s="2"/>
    </row>
    <row r="207" spans="6:6" x14ac:dyDescent="0.35">
      <c r="F207" s="2"/>
    </row>
    <row r="208" spans="6:6" x14ac:dyDescent="0.35">
      <c r="F208" s="2"/>
    </row>
    <row r="209" spans="6:6" x14ac:dyDescent="0.35">
      <c r="F209" s="2"/>
    </row>
    <row r="210" spans="6:6" x14ac:dyDescent="0.35">
      <c r="F210" s="2"/>
    </row>
    <row r="211" spans="6:6" x14ac:dyDescent="0.35">
      <c r="F211" s="2"/>
    </row>
    <row r="212" spans="6:6" x14ac:dyDescent="0.35">
      <c r="F212" s="2"/>
    </row>
    <row r="213" spans="6:6" x14ac:dyDescent="0.35">
      <c r="F213" s="2"/>
    </row>
    <row r="214" spans="6:6" x14ac:dyDescent="0.35">
      <c r="F214" s="2"/>
    </row>
    <row r="215" spans="6:6" x14ac:dyDescent="0.35">
      <c r="F215" s="2"/>
    </row>
    <row r="216" spans="6:6" x14ac:dyDescent="0.35">
      <c r="F216" s="2"/>
    </row>
    <row r="217" spans="6:6" x14ac:dyDescent="0.35">
      <c r="F217" s="2"/>
    </row>
    <row r="218" spans="6:6" x14ac:dyDescent="0.35">
      <c r="F218" s="2"/>
    </row>
    <row r="219" spans="6:6" x14ac:dyDescent="0.35">
      <c r="F219" s="2"/>
    </row>
    <row r="220" spans="6:6" x14ac:dyDescent="0.35">
      <c r="F220" s="2"/>
    </row>
    <row r="221" spans="6:6" x14ac:dyDescent="0.35">
      <c r="F221" s="2"/>
    </row>
    <row r="222" spans="6:6" x14ac:dyDescent="0.35">
      <c r="F222" s="2"/>
    </row>
    <row r="223" spans="6:6" x14ac:dyDescent="0.35">
      <c r="F223" s="2"/>
    </row>
    <row r="224" spans="6:6" x14ac:dyDescent="0.35">
      <c r="F224" s="2"/>
    </row>
    <row r="225" spans="6:6" x14ac:dyDescent="0.35">
      <c r="F225" s="2"/>
    </row>
    <row r="226" spans="6:6" x14ac:dyDescent="0.35">
      <c r="F226" s="2"/>
    </row>
    <row r="227" spans="6:6" x14ac:dyDescent="0.35">
      <c r="F227" s="2"/>
    </row>
    <row r="228" spans="6:6" x14ac:dyDescent="0.35">
      <c r="F228" s="2"/>
    </row>
    <row r="229" spans="6:6" x14ac:dyDescent="0.35">
      <c r="F229" s="2"/>
    </row>
    <row r="230" spans="6:6" x14ac:dyDescent="0.35">
      <c r="F230" s="2"/>
    </row>
    <row r="231" spans="6:6" x14ac:dyDescent="0.35">
      <c r="F231" s="2"/>
    </row>
    <row r="232" spans="6:6" x14ac:dyDescent="0.35">
      <c r="F232" s="2"/>
    </row>
    <row r="233" spans="6:6" x14ac:dyDescent="0.35">
      <c r="F233" s="2"/>
    </row>
    <row r="234" spans="6:6" x14ac:dyDescent="0.35">
      <c r="F234" s="2"/>
    </row>
    <row r="235" spans="6:6" x14ac:dyDescent="0.35">
      <c r="F235" s="2"/>
    </row>
    <row r="236" spans="6:6" x14ac:dyDescent="0.35">
      <c r="F236" s="2"/>
    </row>
    <row r="237" spans="6:6" x14ac:dyDescent="0.35">
      <c r="F237" s="2"/>
    </row>
    <row r="238" spans="6:6" x14ac:dyDescent="0.35">
      <c r="F238" s="2"/>
    </row>
    <row r="239" spans="6:6" x14ac:dyDescent="0.35">
      <c r="F239" s="2"/>
    </row>
    <row r="240" spans="6:6" x14ac:dyDescent="0.35">
      <c r="F240" s="2"/>
    </row>
    <row r="241" spans="6:6" x14ac:dyDescent="0.35">
      <c r="F241" s="2"/>
    </row>
    <row r="242" spans="6:6" x14ac:dyDescent="0.35">
      <c r="F242" s="2"/>
    </row>
    <row r="243" spans="6:6" x14ac:dyDescent="0.35">
      <c r="F243" s="2"/>
    </row>
    <row r="244" spans="6:6" x14ac:dyDescent="0.35">
      <c r="F244" s="2"/>
    </row>
    <row r="245" spans="6:6" x14ac:dyDescent="0.35">
      <c r="F245" s="2"/>
    </row>
    <row r="246" spans="6:6" x14ac:dyDescent="0.35">
      <c r="F246" s="2"/>
    </row>
    <row r="247" spans="6:6" x14ac:dyDescent="0.35">
      <c r="F247" s="2"/>
    </row>
    <row r="248" spans="6:6" x14ac:dyDescent="0.35">
      <c r="F248" s="2"/>
    </row>
    <row r="249" spans="6:6" x14ac:dyDescent="0.35">
      <c r="F249" s="2"/>
    </row>
    <row r="250" spans="6:6" x14ac:dyDescent="0.35">
      <c r="F250" s="2"/>
    </row>
    <row r="251" spans="6:6" x14ac:dyDescent="0.35">
      <c r="F251" s="2"/>
    </row>
    <row r="252" spans="6:6" x14ac:dyDescent="0.35">
      <c r="F252" s="2"/>
    </row>
    <row r="253" spans="6:6" x14ac:dyDescent="0.35">
      <c r="F253" s="2"/>
    </row>
    <row r="254" spans="6:6" x14ac:dyDescent="0.35">
      <c r="F254" s="2"/>
    </row>
    <row r="255" spans="6:6" x14ac:dyDescent="0.35">
      <c r="F255" s="2"/>
    </row>
    <row r="256" spans="6:6" x14ac:dyDescent="0.35">
      <c r="F256" s="2"/>
    </row>
    <row r="257" spans="6:6" x14ac:dyDescent="0.35">
      <c r="F257" s="2"/>
    </row>
    <row r="258" spans="6:6" x14ac:dyDescent="0.35">
      <c r="F258" s="2"/>
    </row>
    <row r="259" spans="6:6" x14ac:dyDescent="0.35">
      <c r="F259" s="2"/>
    </row>
    <row r="260" spans="6:6" x14ac:dyDescent="0.35">
      <c r="F260" s="2"/>
    </row>
    <row r="261" spans="6:6" x14ac:dyDescent="0.35">
      <c r="F261" s="2"/>
    </row>
    <row r="262" spans="6:6" x14ac:dyDescent="0.35">
      <c r="F262" s="2"/>
    </row>
    <row r="263" spans="6:6" x14ac:dyDescent="0.35">
      <c r="F263" s="2"/>
    </row>
    <row r="264" spans="6:6" x14ac:dyDescent="0.35">
      <c r="F264" s="2"/>
    </row>
    <row r="265" spans="6:6" x14ac:dyDescent="0.35">
      <c r="F265" s="2"/>
    </row>
    <row r="266" spans="6:6" x14ac:dyDescent="0.35">
      <c r="F266" s="2"/>
    </row>
    <row r="267" spans="6:6" x14ac:dyDescent="0.35">
      <c r="F267" s="2"/>
    </row>
    <row r="268" spans="6:6" x14ac:dyDescent="0.35">
      <c r="F268" s="2"/>
    </row>
    <row r="269" spans="6:6" x14ac:dyDescent="0.35">
      <c r="F269" s="2"/>
    </row>
    <row r="270" spans="6:6" x14ac:dyDescent="0.35">
      <c r="F270" s="2"/>
    </row>
    <row r="271" spans="6:6" x14ac:dyDescent="0.35">
      <c r="F271" s="2"/>
    </row>
    <row r="272" spans="6:6" x14ac:dyDescent="0.35">
      <c r="F272" s="2"/>
    </row>
    <row r="273" spans="6:6" x14ac:dyDescent="0.35">
      <c r="F273" s="2"/>
    </row>
    <row r="274" spans="6:6" x14ac:dyDescent="0.35">
      <c r="F274" s="2"/>
    </row>
    <row r="275" spans="6:6" x14ac:dyDescent="0.35">
      <c r="F275" s="2"/>
    </row>
    <row r="276" spans="6:6" x14ac:dyDescent="0.35">
      <c r="F276" s="2"/>
    </row>
    <row r="277" spans="6:6" x14ac:dyDescent="0.35">
      <c r="F277" s="2"/>
    </row>
    <row r="278" spans="6:6" x14ac:dyDescent="0.35">
      <c r="F278" s="2"/>
    </row>
    <row r="279" spans="6:6" x14ac:dyDescent="0.35">
      <c r="F279" s="2"/>
    </row>
    <row r="280" spans="6:6" x14ac:dyDescent="0.35">
      <c r="F280" s="2"/>
    </row>
    <row r="281" spans="6:6" x14ac:dyDescent="0.35">
      <c r="F281" s="2"/>
    </row>
    <row r="282" spans="6:6" x14ac:dyDescent="0.35">
      <c r="F282" s="2"/>
    </row>
    <row r="283" spans="6:6" x14ac:dyDescent="0.35">
      <c r="F283" s="2"/>
    </row>
    <row r="284" spans="6:6" x14ac:dyDescent="0.35">
      <c r="F284" s="2"/>
    </row>
    <row r="285" spans="6:6" x14ac:dyDescent="0.35">
      <c r="F285" s="2"/>
    </row>
    <row r="286" spans="6:6" x14ac:dyDescent="0.35">
      <c r="F286" s="2"/>
    </row>
    <row r="287" spans="6:6" x14ac:dyDescent="0.35">
      <c r="F287" s="2"/>
    </row>
    <row r="288" spans="6:6" x14ac:dyDescent="0.35">
      <c r="F288" s="2"/>
    </row>
    <row r="289" spans="6:6" x14ac:dyDescent="0.35">
      <c r="F289" s="2"/>
    </row>
    <row r="290" spans="6:6" x14ac:dyDescent="0.35">
      <c r="F290" s="2"/>
    </row>
    <row r="291" spans="6:6" x14ac:dyDescent="0.35">
      <c r="F291" s="2"/>
    </row>
    <row r="292" spans="6:6" x14ac:dyDescent="0.35">
      <c r="F292" s="2"/>
    </row>
    <row r="293" spans="6:6" x14ac:dyDescent="0.35">
      <c r="F293" s="2"/>
    </row>
    <row r="294" spans="6:6" x14ac:dyDescent="0.35">
      <c r="F294" s="2"/>
    </row>
    <row r="295" spans="6:6" x14ac:dyDescent="0.35">
      <c r="F295" s="2"/>
    </row>
    <row r="296" spans="6:6" x14ac:dyDescent="0.35">
      <c r="F296" s="2"/>
    </row>
    <row r="297" spans="6:6" x14ac:dyDescent="0.35">
      <c r="F297" s="2"/>
    </row>
    <row r="298" spans="6:6" x14ac:dyDescent="0.35">
      <c r="F298" s="2"/>
    </row>
    <row r="299" spans="6:6" x14ac:dyDescent="0.35">
      <c r="F299" s="2"/>
    </row>
    <row r="300" spans="6:6" x14ac:dyDescent="0.35">
      <c r="F300" s="2"/>
    </row>
    <row r="301" spans="6:6" x14ac:dyDescent="0.35">
      <c r="F301" s="2"/>
    </row>
    <row r="302" spans="6:6" x14ac:dyDescent="0.35">
      <c r="F302" s="2"/>
    </row>
    <row r="303" spans="6:6" x14ac:dyDescent="0.35">
      <c r="F303" s="2"/>
    </row>
    <row r="304" spans="6:6" x14ac:dyDescent="0.35">
      <c r="F304" s="2"/>
    </row>
    <row r="305" spans="6:6" x14ac:dyDescent="0.35">
      <c r="F305" s="2"/>
    </row>
    <row r="306" spans="6:6" x14ac:dyDescent="0.35">
      <c r="F306" s="2"/>
    </row>
    <row r="307" spans="6:6" x14ac:dyDescent="0.35">
      <c r="F307" s="2"/>
    </row>
    <row r="308" spans="6:6" x14ac:dyDescent="0.35">
      <c r="F308" s="2"/>
    </row>
    <row r="309" spans="6:6" x14ac:dyDescent="0.35">
      <c r="F309" s="2"/>
    </row>
    <row r="310" spans="6:6" x14ac:dyDescent="0.35">
      <c r="F310" s="2"/>
    </row>
    <row r="311" spans="6:6" x14ac:dyDescent="0.35">
      <c r="F311" s="2"/>
    </row>
    <row r="312" spans="6:6" x14ac:dyDescent="0.35">
      <c r="F312" s="2"/>
    </row>
    <row r="313" spans="6:6" x14ac:dyDescent="0.35">
      <c r="F313" s="2"/>
    </row>
    <row r="314" spans="6:6" x14ac:dyDescent="0.35">
      <c r="F314" s="2"/>
    </row>
    <row r="315" spans="6:6" x14ac:dyDescent="0.35">
      <c r="F315" s="2"/>
    </row>
    <row r="316" spans="6:6" x14ac:dyDescent="0.35">
      <c r="F316" s="2"/>
    </row>
    <row r="317" spans="6:6" x14ac:dyDescent="0.35">
      <c r="F317" s="2"/>
    </row>
    <row r="318" spans="6:6" x14ac:dyDescent="0.35">
      <c r="F318" s="2"/>
    </row>
    <row r="319" spans="6:6" x14ac:dyDescent="0.35">
      <c r="F319" s="2"/>
    </row>
    <row r="320" spans="6:6" x14ac:dyDescent="0.35">
      <c r="F320" s="2"/>
    </row>
    <row r="321" spans="6:6" x14ac:dyDescent="0.35">
      <c r="F321" s="2"/>
    </row>
    <row r="322" spans="6:6" x14ac:dyDescent="0.35">
      <c r="F322" s="2"/>
    </row>
    <row r="323" spans="6:6" x14ac:dyDescent="0.35">
      <c r="F323" s="2"/>
    </row>
    <row r="324" spans="6:6" x14ac:dyDescent="0.35">
      <c r="F324" s="2"/>
    </row>
    <row r="325" spans="6:6" x14ac:dyDescent="0.35">
      <c r="F325" s="2"/>
    </row>
    <row r="326" spans="6:6" x14ac:dyDescent="0.35">
      <c r="F326" s="2"/>
    </row>
    <row r="327" spans="6:6" x14ac:dyDescent="0.35">
      <c r="F327" s="2"/>
    </row>
    <row r="328" spans="6:6" x14ac:dyDescent="0.35">
      <c r="F328" s="2"/>
    </row>
    <row r="329" spans="6:6" x14ac:dyDescent="0.35">
      <c r="F329" s="2"/>
    </row>
    <row r="330" spans="6:6" x14ac:dyDescent="0.35">
      <c r="F330" s="2"/>
    </row>
    <row r="331" spans="6:6" x14ac:dyDescent="0.35">
      <c r="F331" s="2"/>
    </row>
    <row r="332" spans="6:6" x14ac:dyDescent="0.35">
      <c r="F332" s="2"/>
    </row>
    <row r="333" spans="6:6" x14ac:dyDescent="0.35">
      <c r="F333" s="2"/>
    </row>
    <row r="334" spans="6:6" x14ac:dyDescent="0.35">
      <c r="F334" s="2"/>
    </row>
    <row r="335" spans="6:6" x14ac:dyDescent="0.35">
      <c r="F335" s="2"/>
    </row>
    <row r="336" spans="6:6" x14ac:dyDescent="0.35">
      <c r="F336" s="2"/>
    </row>
    <row r="337" spans="6:6" x14ac:dyDescent="0.35">
      <c r="F337" s="2"/>
    </row>
    <row r="338" spans="6:6" x14ac:dyDescent="0.35">
      <c r="F338" s="2"/>
    </row>
    <row r="339" spans="6:6" x14ac:dyDescent="0.35">
      <c r="F339" s="2"/>
    </row>
    <row r="340" spans="6:6" x14ac:dyDescent="0.35">
      <c r="F340" s="2"/>
    </row>
    <row r="341" spans="6:6" x14ac:dyDescent="0.35">
      <c r="F341" s="2"/>
    </row>
    <row r="342" spans="6:6" x14ac:dyDescent="0.35">
      <c r="F342" s="2"/>
    </row>
    <row r="343" spans="6:6" x14ac:dyDescent="0.35">
      <c r="F343" s="2"/>
    </row>
    <row r="344" spans="6:6" x14ac:dyDescent="0.35">
      <c r="F344" s="2"/>
    </row>
    <row r="345" spans="6:6" x14ac:dyDescent="0.35">
      <c r="F345" s="2"/>
    </row>
    <row r="346" spans="6:6" x14ac:dyDescent="0.35">
      <c r="F346" s="2"/>
    </row>
    <row r="347" spans="6:6" x14ac:dyDescent="0.35">
      <c r="F347" s="2"/>
    </row>
    <row r="348" spans="6:6" x14ac:dyDescent="0.35">
      <c r="F348" s="2"/>
    </row>
    <row r="349" spans="6:6" x14ac:dyDescent="0.35">
      <c r="F349" s="2"/>
    </row>
    <row r="350" spans="6:6" x14ac:dyDescent="0.35">
      <c r="F350" s="2"/>
    </row>
    <row r="351" spans="6:6" x14ac:dyDescent="0.35">
      <c r="F351" s="2"/>
    </row>
    <row r="352" spans="6:6" x14ac:dyDescent="0.35">
      <c r="F352" s="2"/>
    </row>
    <row r="353" spans="6:6" x14ac:dyDescent="0.35">
      <c r="F353" s="2"/>
    </row>
    <row r="354" spans="6:6" x14ac:dyDescent="0.35">
      <c r="F354" s="2"/>
    </row>
    <row r="355" spans="6:6" x14ac:dyDescent="0.35">
      <c r="F355" s="2"/>
    </row>
    <row r="356" spans="6:6" x14ac:dyDescent="0.35">
      <c r="F356" s="2"/>
    </row>
    <row r="357" spans="6:6" x14ac:dyDescent="0.35">
      <c r="F357" s="2"/>
    </row>
    <row r="358" spans="6:6" x14ac:dyDescent="0.35">
      <c r="F358" s="2"/>
    </row>
    <row r="359" spans="6:6" x14ac:dyDescent="0.35">
      <c r="F359" s="2"/>
    </row>
    <row r="360" spans="6:6" x14ac:dyDescent="0.35">
      <c r="F360" s="2"/>
    </row>
    <row r="361" spans="6:6" x14ac:dyDescent="0.35">
      <c r="F361" s="2"/>
    </row>
    <row r="362" spans="6:6" x14ac:dyDescent="0.35">
      <c r="F362" s="2"/>
    </row>
    <row r="363" spans="6:6" x14ac:dyDescent="0.35">
      <c r="F363" s="2"/>
    </row>
    <row r="364" spans="6:6" x14ac:dyDescent="0.35">
      <c r="F364" s="2"/>
    </row>
    <row r="365" spans="6:6" x14ac:dyDescent="0.35">
      <c r="F365" s="2"/>
    </row>
    <row r="366" spans="6:6" x14ac:dyDescent="0.35">
      <c r="F366" s="2"/>
    </row>
    <row r="367" spans="6:6" x14ac:dyDescent="0.35">
      <c r="F367" s="2"/>
    </row>
    <row r="368" spans="6:6" x14ac:dyDescent="0.35">
      <c r="F368" s="2"/>
    </row>
    <row r="369" spans="6:6" x14ac:dyDescent="0.35">
      <c r="F369" s="2"/>
    </row>
    <row r="370" spans="6:6" x14ac:dyDescent="0.35">
      <c r="F370" s="2"/>
    </row>
    <row r="371" spans="6:6" x14ac:dyDescent="0.35">
      <c r="F371" s="2"/>
    </row>
    <row r="372" spans="6:6" x14ac:dyDescent="0.35">
      <c r="F372" s="2"/>
    </row>
    <row r="373" spans="6:6" x14ac:dyDescent="0.35">
      <c r="F373" s="2"/>
    </row>
    <row r="374" spans="6:6" x14ac:dyDescent="0.35">
      <c r="F374" s="2"/>
    </row>
    <row r="375" spans="6:6" x14ac:dyDescent="0.35">
      <c r="F375" s="2"/>
    </row>
    <row r="376" spans="6:6" x14ac:dyDescent="0.35">
      <c r="F376" s="2"/>
    </row>
    <row r="377" spans="6:6" x14ac:dyDescent="0.35">
      <c r="F377" s="2"/>
    </row>
    <row r="378" spans="6:6" x14ac:dyDescent="0.35">
      <c r="F378" s="2"/>
    </row>
    <row r="379" spans="6:6" x14ac:dyDescent="0.35">
      <c r="F379" s="2"/>
    </row>
    <row r="380" spans="6:6" x14ac:dyDescent="0.35">
      <c r="F380" s="2"/>
    </row>
    <row r="381" spans="6:6" x14ac:dyDescent="0.35">
      <c r="F381" s="2"/>
    </row>
    <row r="382" spans="6:6" x14ac:dyDescent="0.35">
      <c r="F382" s="2"/>
    </row>
    <row r="383" spans="6:6" x14ac:dyDescent="0.35">
      <c r="F383" s="2"/>
    </row>
    <row r="384" spans="6:6" x14ac:dyDescent="0.35">
      <c r="F384" s="2"/>
    </row>
    <row r="385" spans="6:6" x14ac:dyDescent="0.35">
      <c r="F385" s="2"/>
    </row>
    <row r="386" spans="6:6" x14ac:dyDescent="0.35">
      <c r="F386" s="2"/>
    </row>
    <row r="387" spans="6:6" x14ac:dyDescent="0.35">
      <c r="F387" s="2"/>
    </row>
    <row r="388" spans="6:6" x14ac:dyDescent="0.35">
      <c r="F388" s="2"/>
    </row>
    <row r="389" spans="6:6" x14ac:dyDescent="0.35">
      <c r="F389" s="2"/>
    </row>
    <row r="390" spans="6:6" x14ac:dyDescent="0.35">
      <c r="F390" s="2"/>
    </row>
    <row r="391" spans="6:6" x14ac:dyDescent="0.35">
      <c r="F391" s="2"/>
    </row>
    <row r="392" spans="6:6" x14ac:dyDescent="0.35">
      <c r="F392" s="2"/>
    </row>
    <row r="393" spans="6:6" x14ac:dyDescent="0.35">
      <c r="F393" s="2"/>
    </row>
    <row r="394" spans="6:6" x14ac:dyDescent="0.35">
      <c r="F394" s="2"/>
    </row>
    <row r="395" spans="6:6" x14ac:dyDescent="0.35">
      <c r="F395" s="2"/>
    </row>
    <row r="396" spans="6:6" x14ac:dyDescent="0.35">
      <c r="F396" s="2"/>
    </row>
    <row r="397" spans="6:6" x14ac:dyDescent="0.35">
      <c r="F397" s="2"/>
    </row>
    <row r="398" spans="6:6" x14ac:dyDescent="0.35">
      <c r="F398" s="2"/>
    </row>
    <row r="399" spans="6:6" x14ac:dyDescent="0.35">
      <c r="F399" s="2"/>
    </row>
    <row r="400" spans="6:6" x14ac:dyDescent="0.35">
      <c r="F400" s="2"/>
    </row>
    <row r="401" spans="6:6" x14ac:dyDescent="0.35">
      <c r="F401" s="2"/>
    </row>
    <row r="402" spans="6:6" x14ac:dyDescent="0.35">
      <c r="F402" s="2"/>
    </row>
    <row r="403" spans="6:6" x14ac:dyDescent="0.35">
      <c r="F403" s="2"/>
    </row>
    <row r="404" spans="6:6" x14ac:dyDescent="0.35">
      <c r="F404" s="2"/>
    </row>
    <row r="405" spans="6:6" x14ac:dyDescent="0.35">
      <c r="F405" s="2"/>
    </row>
    <row r="406" spans="6:6" x14ac:dyDescent="0.35">
      <c r="F406" s="2"/>
    </row>
    <row r="407" spans="6:6" x14ac:dyDescent="0.35">
      <c r="F407" s="2"/>
    </row>
    <row r="408" spans="6:6" x14ac:dyDescent="0.35">
      <c r="F408" s="2"/>
    </row>
    <row r="409" spans="6:6" x14ac:dyDescent="0.35">
      <c r="F409" s="2"/>
    </row>
    <row r="410" spans="6:6" x14ac:dyDescent="0.35">
      <c r="F410" s="2"/>
    </row>
    <row r="411" spans="6:6" x14ac:dyDescent="0.35">
      <c r="F411" s="2"/>
    </row>
    <row r="412" spans="6:6" x14ac:dyDescent="0.35">
      <c r="F412" s="2"/>
    </row>
    <row r="413" spans="6:6" x14ac:dyDescent="0.35">
      <c r="F413" s="2"/>
    </row>
    <row r="414" spans="6:6" x14ac:dyDescent="0.35">
      <c r="F414" s="2"/>
    </row>
    <row r="415" spans="6:6" x14ac:dyDescent="0.35">
      <c r="F415" s="2"/>
    </row>
    <row r="416" spans="6:6" x14ac:dyDescent="0.35">
      <c r="F416" s="2"/>
    </row>
    <row r="417" spans="6:6" x14ac:dyDescent="0.35">
      <c r="F417" s="2"/>
    </row>
    <row r="418" spans="6:6" x14ac:dyDescent="0.35">
      <c r="F418" s="2"/>
    </row>
    <row r="419" spans="6:6" x14ac:dyDescent="0.35">
      <c r="F419" s="2"/>
    </row>
    <row r="420" spans="6:6" x14ac:dyDescent="0.35">
      <c r="F420" s="2"/>
    </row>
    <row r="421" spans="6:6" x14ac:dyDescent="0.35">
      <c r="F421" s="2"/>
    </row>
    <row r="422" spans="6:6" x14ac:dyDescent="0.35">
      <c r="F422" s="2"/>
    </row>
    <row r="423" spans="6:6" x14ac:dyDescent="0.35">
      <c r="F423" s="2"/>
    </row>
    <row r="424" spans="6:6" x14ac:dyDescent="0.35">
      <c r="F424" s="2"/>
    </row>
    <row r="425" spans="6:6" x14ac:dyDescent="0.35">
      <c r="F425" s="2"/>
    </row>
    <row r="426" spans="6:6" x14ac:dyDescent="0.35">
      <c r="F426" s="2"/>
    </row>
    <row r="427" spans="6:6" x14ac:dyDescent="0.35">
      <c r="F427" s="2"/>
    </row>
    <row r="428" spans="6:6" x14ac:dyDescent="0.35">
      <c r="F428" s="2"/>
    </row>
    <row r="429" spans="6:6" x14ac:dyDescent="0.35">
      <c r="F429" s="2"/>
    </row>
    <row r="430" spans="6:6" x14ac:dyDescent="0.35">
      <c r="F430" s="2"/>
    </row>
    <row r="431" spans="6:6" x14ac:dyDescent="0.35">
      <c r="F431" s="2"/>
    </row>
    <row r="432" spans="6:6" x14ac:dyDescent="0.35">
      <c r="F432" s="2"/>
    </row>
    <row r="433" spans="6:6" x14ac:dyDescent="0.35">
      <c r="F433" s="2"/>
    </row>
    <row r="434" spans="6:6" x14ac:dyDescent="0.35">
      <c r="F434" s="2"/>
    </row>
    <row r="435" spans="6:6" x14ac:dyDescent="0.35">
      <c r="F435" s="2"/>
    </row>
    <row r="436" spans="6:6" x14ac:dyDescent="0.35">
      <c r="F436" s="2"/>
    </row>
    <row r="437" spans="6:6" x14ac:dyDescent="0.35">
      <c r="F437" s="2"/>
    </row>
    <row r="438" spans="6:6" x14ac:dyDescent="0.35">
      <c r="F438" s="2"/>
    </row>
    <row r="439" spans="6:6" x14ac:dyDescent="0.35">
      <c r="F439" s="2"/>
    </row>
    <row r="440" spans="6:6" x14ac:dyDescent="0.35">
      <c r="F440" s="2"/>
    </row>
    <row r="441" spans="6:6" x14ac:dyDescent="0.35">
      <c r="F441" s="2"/>
    </row>
    <row r="442" spans="6:6" x14ac:dyDescent="0.35">
      <c r="F442" s="2"/>
    </row>
    <row r="443" spans="6:6" x14ac:dyDescent="0.35">
      <c r="F443" s="2"/>
    </row>
    <row r="444" spans="6:6" x14ac:dyDescent="0.35">
      <c r="F444" s="2"/>
    </row>
  </sheetData>
  <autoFilter ref="A1:V1" xr:uid="{F71C087D-6840-4021-B8B6-FEAC5E4C9E39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0B17-5D83-45EB-9204-CE8CC6697E58}">
  <sheetPr codeName="Sheet1"/>
  <dimension ref="A1:M55"/>
  <sheetViews>
    <sheetView tabSelected="1" topLeftCell="C1" workbookViewId="0">
      <selection activeCell="C22" sqref="C22"/>
    </sheetView>
  </sheetViews>
  <sheetFormatPr defaultRowHeight="14.5" x14ac:dyDescent="0.35"/>
  <cols>
    <col min="1" max="1" width="17.6328125" customWidth="1"/>
    <col min="2" max="2" width="43.26953125" customWidth="1"/>
    <col min="3" max="3" width="17.6328125" customWidth="1"/>
    <col min="4" max="4" width="22.08984375" customWidth="1"/>
    <col min="5" max="5" width="27.1796875" customWidth="1"/>
    <col min="6" max="7" width="22.1796875" customWidth="1"/>
    <col min="8" max="12" width="17.6328125" customWidth="1"/>
    <col min="13" max="15" width="15.6328125" customWidth="1"/>
  </cols>
  <sheetData>
    <row r="1" spans="1:13" ht="58.5" customHeight="1" x14ac:dyDescent="0.35">
      <c r="A1" s="3" t="s">
        <v>5</v>
      </c>
      <c r="B1" s="3" t="s">
        <v>6</v>
      </c>
      <c r="C1" s="3" t="s">
        <v>8</v>
      </c>
      <c r="D1" s="3" t="s">
        <v>26</v>
      </c>
      <c r="E1" s="3" t="s">
        <v>27</v>
      </c>
      <c r="F1" s="3" t="s">
        <v>29</v>
      </c>
      <c r="G1" s="3" t="s">
        <v>30</v>
      </c>
      <c r="H1" s="3" t="s">
        <v>28</v>
      </c>
      <c r="I1" s="3" t="s">
        <v>31</v>
      </c>
      <c r="J1" s="3" t="s">
        <v>32</v>
      </c>
      <c r="K1" s="3" t="s">
        <v>33</v>
      </c>
      <c r="L1" s="3" t="s">
        <v>7</v>
      </c>
      <c r="M1" s="3"/>
    </row>
    <row r="2" spans="1:13" x14ac:dyDescent="0.35">
      <c r="A2" s="5" t="str">
        <f>IF(B2="","",'Raw Data'!$F$2)</f>
        <v/>
      </c>
      <c r="C2" s="4" t="str">
        <f>IFERROR((COUNTIFS('Raw Data'!$I:$I, Metrics!$B2, 'Raw Data'!$B:$B, "Successful")/COUNTIF('Raw Data'!$I:$I, Metrics!$B2)),"")</f>
        <v/>
      </c>
      <c r="D2" s="4" t="str">
        <f>IFERROR(COUNTIFS('Raw Data'!$I:$I,Metrics!$B2,'Raw Data'!$D:$D,"*Lookup table queue not found in OEC*")/COUNTIF('Raw Data'!$I:$I,Metrics!$B2),"")</f>
        <v/>
      </c>
      <c r="E2" s="4" t="str">
        <f>IFERROR(COUNTIFS('Raw Data'!$I:$I,Metrics!$B2,'Raw Data'!$D:$D,"*OEC Account number is blank*")/COUNTIF('Raw Data'!$I:$I,Metrics!$B2),"")</f>
        <v/>
      </c>
      <c r="F2" s="4" t="str">
        <f>IFERROR(COUNTIFS('Raw Data'!$I:$I,Metrics!$B2,'Raw Data'!$D:$D,"*Lookup table account number not found in OEC*")/COUNTIF('Raw Data'!$I:$I,Metrics!$B2),"")</f>
        <v/>
      </c>
      <c r="G2" s="4" t="str">
        <f>IFERROR((COUNTIFS('Raw Data'!$I:$I, Metrics!$B2,'Raw Data'!$D:$D, "*OEC SR Customer Care Rep already updated*")/COUNTIF('Raw Data'!$I:$I, Metrics!$B2)),"")</f>
        <v/>
      </c>
      <c r="H2" s="4" t="str">
        <f>IFERROR((COUNTIFS('Raw Data'!$I:$I, Metrics!$B2,'Raw Data'!$D:$D, "*CCR not found in OEC*")/COUNTIF('Raw Data'!$I:$I, Metrics!$B2)),"")</f>
        <v/>
      </c>
      <c r="I2" s="4" t="str">
        <f>IFERROR((COUNTIFS('Raw Data'!$I:$I, Metrics!$B2,'Raw Data'!$D:$D, "*OEC SR Assign To already updated.*")/COUNTIF('Raw Data'!$I:$I, Metrics!$B2)),"")</f>
        <v/>
      </c>
      <c r="J2" s="4" t="str">
        <f>IFERROR((COUNTIFS('Raw Data'!$I:$I, Metrics!$B2,'Raw Data'!$D:$D, "*Assign To resource not found in OEC.*")/COUNTIF('Raw Data'!$I:$I, Metrics!$B2)),"")</f>
        <v/>
      </c>
      <c r="K2" s="4" t="str">
        <f>IFERROR((COUNTIFS('Raw Data'!$I:$I, Metrics!$B2,'Raw Data'!$D:$D, "SR Status is already updated")/COUNTIF('Raw Data'!$I:$I, Metrics!$B2)),"")</f>
        <v/>
      </c>
      <c r="L2" s="4" t="str">
        <f>IFERROR((COUNTIFS('Raw Data'!$I:$I, Metrics!$B2,'Raw Data'!$D:$D, "*SR Failed to Update*")/COUNTIF('Raw Data'!$I:$I, Metrics!$B2)),"")</f>
        <v/>
      </c>
    </row>
    <row r="3" spans="1:13" x14ac:dyDescent="0.35">
      <c r="A3" s="5" t="str">
        <f>IF(B3="","",'Raw Data'!$F$2)</f>
        <v/>
      </c>
      <c r="C3" s="4" t="str">
        <f>IFERROR((COUNTIFS('Raw Data'!$I:$I, Metrics!$B3, 'Raw Data'!$B:$B, "Successful")/COUNTIF('Raw Data'!$I:$I, Metrics!$B3)),"")</f>
        <v/>
      </c>
      <c r="D3" s="4" t="str">
        <f>IFERROR(COUNTIFS('Raw Data'!$I:$I,Metrics!$B3,'Raw Data'!$D:$D,"*Lookup table queue not found in OEC*")/COUNTIF('Raw Data'!$I:$I,Metrics!$B3),"")</f>
        <v/>
      </c>
      <c r="E3" s="4" t="str">
        <f>IFERROR(COUNTIFS('Raw Data'!$I:$I,Metrics!$B3,'Raw Data'!$D:$D,"*OEC Account number is blank*")/COUNTIF('Raw Data'!$I:$I,Metrics!$B3),"")</f>
        <v/>
      </c>
      <c r="F3" s="4" t="str">
        <f>IFERROR(COUNTIFS('Raw Data'!$I:$I,Metrics!$B3,'Raw Data'!$D:$D,"*Lookup table account number not found in OEC*")/COUNTIF('Raw Data'!$I:$I,Metrics!$B3),"")</f>
        <v/>
      </c>
      <c r="G3" s="4" t="str">
        <f>IFERROR((COUNTIFS('Raw Data'!$I:$I, Metrics!$B3,'Raw Data'!$D:$D, "*OEC SR Customer Care Rep already updated*")/COUNTIF('Raw Data'!$I:$I, Metrics!$B3)),"")</f>
        <v/>
      </c>
      <c r="H3" s="4" t="str">
        <f>IFERROR((COUNTIFS('Raw Data'!$I:$I, Metrics!$B3,'Raw Data'!$D:$D, "*CCR not found in OEC*")/COUNTIF('Raw Data'!$I:$I, Metrics!$B3)),"")</f>
        <v/>
      </c>
      <c r="I3" s="4"/>
      <c r="J3" s="4"/>
      <c r="K3" s="4" t="str">
        <f>IFERROR((COUNTIFS('Raw Data'!$I:$I, Metrics!$B3,'Raw Data'!$D:$D, "SR Status is already updated")/COUNTIF('Raw Data'!$I:$I, Metrics!$B3)),"")</f>
        <v/>
      </c>
      <c r="L3" s="4" t="str">
        <f>IFERROR((COUNTIFS('Raw Data'!$I:$I, Metrics!$B3,'Raw Data'!$D:$D, "*SR Failed to Update*")/COUNTIF('Raw Data'!$I:$I, Metrics!$B3)),"")</f>
        <v/>
      </c>
    </row>
    <row r="4" spans="1:13" x14ac:dyDescent="0.35">
      <c r="A4" s="5" t="str">
        <f>IF(B4="","",'Raw Data'!$F$2)</f>
        <v/>
      </c>
      <c r="C4" s="4" t="str">
        <f>IFERROR((COUNTIFS('Raw Data'!$I:$I, Metrics!$B4, 'Raw Data'!$B:$B, "Successful")/COUNTIF('Raw Data'!$I:$I, Metrics!$B4)),"")</f>
        <v/>
      </c>
      <c r="D4" s="4" t="str">
        <f>IFERROR(COUNTIFS('Raw Data'!$I:$I,Metrics!$B4,'Raw Data'!$D:$D,"*Lookup table queue not found in OEC*")/COUNTIF('Raw Data'!$I:$I,Metrics!$B4),"")</f>
        <v/>
      </c>
      <c r="E4" s="4" t="str">
        <f>IFERROR(COUNTIFS('Raw Data'!$I:$I,Metrics!$B4,'Raw Data'!$D:$D,"*OEC Account number is blank*")/COUNTIF('Raw Data'!$I:$I,Metrics!$B4),"")</f>
        <v/>
      </c>
      <c r="F4" s="4" t="str">
        <f>IFERROR(COUNTIFS('Raw Data'!$I:$I,Metrics!$B4,'Raw Data'!$D:$D,"*Lookup table account number not found in OEC*")/COUNTIF('Raw Data'!$I:$I,Metrics!$B4),"")</f>
        <v/>
      </c>
      <c r="G4" s="4" t="str">
        <f>IFERROR((COUNTIFS('Raw Data'!$I:$I, Metrics!$B4,'Raw Data'!$D:$D, "*OEC SR Customer Care Rep already updated*")/COUNTIF('Raw Data'!$I:$I, Metrics!$B4)),"")</f>
        <v/>
      </c>
      <c r="H4" s="4" t="str">
        <f>IFERROR((COUNTIFS('Raw Data'!$I:$I, Metrics!$B4,'Raw Data'!$D:$D, "*CCR not found in OEC*")/COUNTIF('Raw Data'!$I:$I, Metrics!$B4)),"")</f>
        <v/>
      </c>
      <c r="I4" s="4"/>
      <c r="J4" s="4"/>
      <c r="K4" s="4" t="str">
        <f>IFERROR((COUNTIFS('Raw Data'!$I:$I, Metrics!$B4,'Raw Data'!$D:$D, "SR Status is already updated")/COUNTIF('Raw Data'!$I:$I, Metrics!$B4)),"")</f>
        <v/>
      </c>
      <c r="L4" s="4" t="str">
        <f>IFERROR((COUNTIFS('Raw Data'!$I:$I, Metrics!$B4,'Raw Data'!$D:$D, "*SR Failed to Update*")/COUNTIF('Raw Data'!$I:$I, Metrics!$B4)),"")</f>
        <v/>
      </c>
    </row>
    <row r="5" spans="1:13" x14ac:dyDescent="0.35">
      <c r="A5" s="5" t="str">
        <f>IF(B5="","",'Raw Data'!$F$2)</f>
        <v/>
      </c>
      <c r="C5" s="4" t="str">
        <f>IFERROR((COUNTIFS('Raw Data'!$I:$I, Metrics!$B5, 'Raw Data'!$B:$B, "Successful")/COUNTIF('Raw Data'!$I:$I, Metrics!$B5)),"")</f>
        <v/>
      </c>
      <c r="D5" s="4" t="str">
        <f>IFERROR(COUNTIFS('Raw Data'!$I:$I,Metrics!$B5,'Raw Data'!$D:$D,"*Lookup table queue not found in OEC*")/COUNTIF('Raw Data'!$I:$I,Metrics!$B5),"")</f>
        <v/>
      </c>
      <c r="E5" s="4" t="str">
        <f>IFERROR(COUNTIFS('Raw Data'!$I:$I,Metrics!$B5,'Raw Data'!$D:$D,"*OEC Account number is blank*")/COUNTIF('Raw Data'!$I:$I,Metrics!$B5),"")</f>
        <v/>
      </c>
      <c r="F5" s="4" t="str">
        <f>IFERROR(COUNTIFS('Raw Data'!$I:$I,Metrics!$B5,'Raw Data'!$D:$D,"*Lookup table account number not found in OEC*")/COUNTIF('Raw Data'!$I:$I,Metrics!$B5),"")</f>
        <v/>
      </c>
      <c r="G5" s="4" t="str">
        <f>IFERROR((COUNTIFS('Raw Data'!$I:$I, Metrics!$B5,'Raw Data'!$D:$D, "*OEC SR Customer Care Rep already updated*")/COUNTIF('Raw Data'!$I:$I, Metrics!$B5)),"")</f>
        <v/>
      </c>
      <c r="H5" s="4" t="str">
        <f>IFERROR((COUNTIFS('Raw Data'!$I:$I, Metrics!$B5,'Raw Data'!$D:$D, "*CCR not found in OEC*")/COUNTIF('Raw Data'!$I:$I, Metrics!$B5)),"")</f>
        <v/>
      </c>
      <c r="I5" s="4"/>
      <c r="J5" s="4"/>
      <c r="K5" s="4" t="str">
        <f>IFERROR((COUNTIFS('Raw Data'!$I:$I, Metrics!$B5,'Raw Data'!$D:$D, "SR Status is already updated")/COUNTIF('Raw Data'!$I:$I, Metrics!$B5)),"")</f>
        <v/>
      </c>
      <c r="L5" s="4" t="str">
        <f>IFERROR((COUNTIFS('Raw Data'!$I:$I, Metrics!$B5,'Raw Data'!$D:$D, "*SR Failed to Update*")/COUNTIF('Raw Data'!$I:$I, Metrics!$B5)),"")</f>
        <v/>
      </c>
    </row>
    <row r="6" spans="1:13" x14ac:dyDescent="0.35">
      <c r="A6" s="5" t="str">
        <f>IF(B6="","",'Raw Data'!$F$2)</f>
        <v/>
      </c>
      <c r="C6" s="4" t="str">
        <f>IFERROR((COUNTIFS('Raw Data'!$I:$I, Metrics!$B6, 'Raw Data'!$B:$B, "Successful")/COUNTIF('Raw Data'!$I:$I, Metrics!$B6)),"")</f>
        <v/>
      </c>
      <c r="D6" s="4" t="str">
        <f>IFERROR(COUNTIFS('Raw Data'!$I:$I,Metrics!$B6,'Raw Data'!$D:$D,"*Lookup table queue not found in OEC*")/COUNTIF('Raw Data'!$I:$I,Metrics!$B6),"")</f>
        <v/>
      </c>
      <c r="E6" s="4" t="str">
        <f>IFERROR(COUNTIFS('Raw Data'!$I:$I,Metrics!$B6,'Raw Data'!$D:$D,"*OEC Account number is blank*")/COUNTIF('Raw Data'!$I:$I,Metrics!$B6),"")</f>
        <v/>
      </c>
      <c r="F6" s="4" t="str">
        <f>IFERROR(COUNTIFS('Raw Data'!$I:$I,Metrics!$B6,'Raw Data'!$D:$D,"*Lookup table account number not found in OEC*")/COUNTIF('Raw Data'!$I:$I,Metrics!$B6),"")</f>
        <v/>
      </c>
      <c r="G6" s="4" t="str">
        <f>IFERROR((COUNTIFS('Raw Data'!$I:$I, Metrics!$B6,'Raw Data'!$D:$D, "*OEC SR Customer Care Rep already updated*")/COUNTIF('Raw Data'!$I:$I, Metrics!$B6)),"")</f>
        <v/>
      </c>
      <c r="H6" s="4" t="str">
        <f>IFERROR((COUNTIFS('Raw Data'!$I:$I, Metrics!$B6,'Raw Data'!$D:$D, "*CCR not found in OEC*")/COUNTIF('Raw Data'!$I:$I, Metrics!$B6)),"")</f>
        <v/>
      </c>
      <c r="I6" s="4"/>
      <c r="J6" s="4"/>
      <c r="K6" s="4" t="str">
        <f>IFERROR((COUNTIFS('Raw Data'!$I:$I, Metrics!$B6,'Raw Data'!$D:$D, "SR Status is already updated")/COUNTIF('Raw Data'!$I:$I, Metrics!$B6)),"")</f>
        <v/>
      </c>
      <c r="L6" s="4" t="str">
        <f>IFERROR((COUNTIFS('Raw Data'!$I:$I, Metrics!$B6,'Raw Data'!$D:$D, "*SR Failed to Update*")/COUNTIF('Raw Data'!$I:$I, Metrics!$B6)),"")</f>
        <v/>
      </c>
    </row>
    <row r="7" spans="1:13" x14ac:dyDescent="0.35">
      <c r="A7" s="5" t="str">
        <f>IF(B7="","",'Raw Data'!$F$2)</f>
        <v/>
      </c>
      <c r="C7" s="4" t="str">
        <f>IFERROR((COUNTIFS('Raw Data'!$I:$I, Metrics!$B7, 'Raw Data'!$B:$B, "Successful")/COUNTIF('Raw Data'!$I:$I, Metrics!$B7)),"")</f>
        <v/>
      </c>
      <c r="D7" s="4" t="str">
        <f>IFERROR(COUNTIFS('Raw Data'!$I:$I,Metrics!$B7,'Raw Data'!$D:$D,"*Lookup table queue not found in OEC*")/COUNTIF('Raw Data'!$I:$I,Metrics!$B7),"")</f>
        <v/>
      </c>
      <c r="E7" s="4" t="str">
        <f>IFERROR(COUNTIFS('Raw Data'!$I:$I,Metrics!$B7,'Raw Data'!$D:$D,"*OEC Account number is blank*")/COUNTIF('Raw Data'!$I:$I,Metrics!$B7),"")</f>
        <v/>
      </c>
      <c r="F7" s="4" t="str">
        <f>IFERROR(COUNTIFS('Raw Data'!$I:$I,Metrics!$B7,'Raw Data'!$D:$D,"*Lookup table account number not found in OEC*")/COUNTIF('Raw Data'!$I:$I,Metrics!$B7),"")</f>
        <v/>
      </c>
      <c r="G7" s="4" t="str">
        <f>IFERROR((COUNTIFS('Raw Data'!$I:$I, Metrics!$B7,'Raw Data'!$D:$D, "*OEC SR Customer Care Rep already updated*")/COUNTIF('Raw Data'!$I:$I, Metrics!$B7)),"")</f>
        <v/>
      </c>
      <c r="H7" s="4" t="str">
        <f>IFERROR((COUNTIFS('Raw Data'!$I:$I, Metrics!$B7,'Raw Data'!$D:$D, "*CCR not found in OEC*")/COUNTIF('Raw Data'!$I:$I, Metrics!$B7)),"")</f>
        <v/>
      </c>
      <c r="I7" s="4"/>
      <c r="J7" s="4"/>
      <c r="K7" s="4" t="str">
        <f>IFERROR((COUNTIFS('Raw Data'!$I:$I, Metrics!$B7,'Raw Data'!$D:$D, "SR Status is already updated")/COUNTIF('Raw Data'!$I:$I, Metrics!$B7)),"")</f>
        <v/>
      </c>
      <c r="L7" s="4" t="str">
        <f>IFERROR((COUNTIFS('Raw Data'!$I:$I, Metrics!$B7,'Raw Data'!$D:$D, "*SR Failed to Update*")/COUNTIF('Raw Data'!$I:$I, Metrics!$B7)),"")</f>
        <v/>
      </c>
    </row>
    <row r="8" spans="1:13" x14ac:dyDescent="0.35">
      <c r="A8" s="5" t="str">
        <f>IF(B8="","",'Raw Data'!$F$2)</f>
        <v/>
      </c>
      <c r="C8" s="4" t="str">
        <f>IFERROR((COUNTIFS('Raw Data'!$I:$I, Metrics!$B8, 'Raw Data'!$B:$B, "Successful")/COUNTIF('Raw Data'!$I:$I, Metrics!$B8)),"")</f>
        <v/>
      </c>
      <c r="D8" s="4" t="str">
        <f>IFERROR(COUNTIFS('Raw Data'!$I:$I,Metrics!$B8,'Raw Data'!$D:$D,"*Lookup table queue not found in OEC*")/COUNTIF('Raw Data'!$I:$I,Metrics!$B8),"")</f>
        <v/>
      </c>
      <c r="E8" s="4" t="str">
        <f>IFERROR(COUNTIFS('Raw Data'!$I:$I,Metrics!$B8,'Raw Data'!$D:$D,"*OEC Account number is blank*")/COUNTIF('Raw Data'!$I:$I,Metrics!$B8),"")</f>
        <v/>
      </c>
      <c r="F8" s="4" t="str">
        <f>IFERROR(COUNTIFS('Raw Data'!$I:$I,Metrics!$B8,'Raw Data'!$D:$D,"*Lookup table account number not found in OEC*")/COUNTIF('Raw Data'!$I:$I,Metrics!$B8),"")</f>
        <v/>
      </c>
      <c r="G8" s="4" t="str">
        <f>IFERROR((COUNTIFS('Raw Data'!$I:$I, Metrics!$B8,'Raw Data'!$D:$D, "*OEC SR Customer Care Rep already updated*")/COUNTIF('Raw Data'!$I:$I, Metrics!$B8)),"")</f>
        <v/>
      </c>
      <c r="H8" s="4" t="str">
        <f>IFERROR((COUNTIFS('Raw Data'!$I:$I, Metrics!$B8,'Raw Data'!$D:$D, "*CCR not found in OEC*")/COUNTIF('Raw Data'!$I:$I, Metrics!$B8)),"")</f>
        <v/>
      </c>
      <c r="I8" s="4"/>
      <c r="J8" s="4"/>
      <c r="K8" s="4" t="str">
        <f>IFERROR((COUNTIFS('Raw Data'!$I:$I, Metrics!$B8,'Raw Data'!$D:$D, "SR Status is already updated")/COUNTIF('Raw Data'!$I:$I, Metrics!$B8)),"")</f>
        <v/>
      </c>
      <c r="L8" s="4" t="str">
        <f>IFERROR((COUNTIFS('Raw Data'!$I:$I, Metrics!$B8,'Raw Data'!$D:$D, "*SR Failed to Update*")/COUNTIF('Raw Data'!$I:$I, Metrics!$B8)),"")</f>
        <v/>
      </c>
    </row>
    <row r="9" spans="1:13" x14ac:dyDescent="0.35">
      <c r="A9" s="5" t="str">
        <f>IF(B9="","",'Raw Data'!$F$2)</f>
        <v/>
      </c>
      <c r="C9" s="4" t="str">
        <f>IFERROR((COUNTIFS('Raw Data'!$I:$I, Metrics!$B9, 'Raw Data'!$B:$B, "Successful")/COUNTIF('Raw Data'!$I:$I, Metrics!$B9)),"")</f>
        <v/>
      </c>
      <c r="D9" s="4" t="str">
        <f>IFERROR(COUNTIFS('Raw Data'!$I:$I,Metrics!$B9,'Raw Data'!$D:$D,"*Lookup table queue not found in OEC*")/COUNTIF('Raw Data'!$I:$I,Metrics!$B9),"")</f>
        <v/>
      </c>
      <c r="E9" s="4" t="str">
        <f>IFERROR(COUNTIFS('Raw Data'!$I:$I,Metrics!$B9,'Raw Data'!$D:$D,"*OEC Account number is blank*")/COUNTIF('Raw Data'!$I:$I,Metrics!$B9),"")</f>
        <v/>
      </c>
      <c r="F9" s="4" t="str">
        <f>IFERROR(COUNTIFS('Raw Data'!$I:$I,Metrics!$B9,'Raw Data'!$D:$D,"*Lookup table account number not found in OEC*")/COUNTIF('Raw Data'!$I:$I,Metrics!$B9),"")</f>
        <v/>
      </c>
      <c r="G9" s="4" t="str">
        <f>IFERROR((COUNTIFS('Raw Data'!$I:$I, Metrics!$B9,'Raw Data'!$D:$D, "*OEC SR Customer Care Rep already updated*")/COUNTIF('Raw Data'!$I:$I, Metrics!$B9)),"")</f>
        <v/>
      </c>
      <c r="H9" s="4" t="str">
        <f>IFERROR((COUNTIFS('Raw Data'!$I:$I, Metrics!$B9,'Raw Data'!$D:$D, "*CCR not found in OEC*")/COUNTIF('Raw Data'!$I:$I, Metrics!$B9)),"")</f>
        <v/>
      </c>
      <c r="I9" s="4"/>
      <c r="J9" s="4"/>
      <c r="K9" s="4" t="str">
        <f>IFERROR((COUNTIFS('Raw Data'!$I:$I, Metrics!$B9,'Raw Data'!$D:$D, "SR Status is already updated")/COUNTIF('Raw Data'!$I:$I, Metrics!$B9)),"")</f>
        <v/>
      </c>
      <c r="L9" s="4" t="str">
        <f>IFERROR((COUNTIFS('Raw Data'!$I:$I, Metrics!$B9,'Raw Data'!$D:$D, "*SR Failed to Update*")/COUNTIF('Raw Data'!$I:$I, Metrics!$B9)),"")</f>
        <v/>
      </c>
    </row>
    <row r="10" spans="1:13" x14ac:dyDescent="0.35">
      <c r="A10" s="5" t="str">
        <f>IF(B10="","",'Raw Data'!$F$2)</f>
        <v/>
      </c>
      <c r="C10" s="4" t="str">
        <f>IFERROR((COUNTIFS('Raw Data'!$I:$I, Metrics!$B10, 'Raw Data'!$B:$B, "Successful")/COUNTIF('Raw Data'!$I:$I, Metrics!$B10)),"")</f>
        <v/>
      </c>
      <c r="D10" s="4" t="str">
        <f>IFERROR(COUNTIFS('Raw Data'!$I:$I,Metrics!$B10,'Raw Data'!$D:$D,"*Lookup table queue not found in OEC*")/COUNTIF('Raw Data'!$I:$I,Metrics!$B10),"")</f>
        <v/>
      </c>
      <c r="E10" s="4" t="str">
        <f>IFERROR(COUNTIFS('Raw Data'!$I:$I,Metrics!$B10,'Raw Data'!$D:$D,"*OEC Account number is blank*")/COUNTIF('Raw Data'!$I:$I,Metrics!$B10),"")</f>
        <v/>
      </c>
      <c r="F10" s="4" t="str">
        <f>IFERROR(COUNTIFS('Raw Data'!$I:$I,Metrics!$B10,'Raw Data'!$D:$D,"*Lookup table account number not found in OEC*")/COUNTIF('Raw Data'!$I:$I,Metrics!$B10),"")</f>
        <v/>
      </c>
      <c r="G10" s="4" t="str">
        <f>IFERROR((COUNTIFS('Raw Data'!$I:$I, Metrics!$B10,'Raw Data'!$D:$D, "*OEC SR Customer Care Rep already updated*")/COUNTIF('Raw Data'!$I:$I, Metrics!$B10)),"")</f>
        <v/>
      </c>
      <c r="H10" s="4" t="str">
        <f>IFERROR((COUNTIFS('Raw Data'!$I:$I, Metrics!$B10,'Raw Data'!$D:$D, "*CCR not found in OEC*")/COUNTIF('Raw Data'!$I:$I, Metrics!$B10)),"")</f>
        <v/>
      </c>
      <c r="I10" s="4"/>
      <c r="J10" s="4"/>
      <c r="K10" s="4" t="str">
        <f>IFERROR((COUNTIFS('Raw Data'!$I:$I, Metrics!$B10,'Raw Data'!$D:$D, "SR Status is already updated")/COUNTIF('Raw Data'!$I:$I, Metrics!$B10)),"")</f>
        <v/>
      </c>
      <c r="L10" s="4" t="str">
        <f>IFERROR((COUNTIFS('Raw Data'!$I:$I, Metrics!$B10,'Raw Data'!$D:$D, "*SR Failed to Update*")/COUNTIF('Raw Data'!$I:$I, Metrics!$B10)),"")</f>
        <v/>
      </c>
    </row>
    <row r="11" spans="1:13" x14ac:dyDescent="0.35">
      <c r="A11" s="5" t="str">
        <f>IF(B11="","",'Raw Data'!$F$2)</f>
        <v/>
      </c>
      <c r="C11" s="4" t="str">
        <f>IFERROR((COUNTIFS('Raw Data'!$I:$I, Metrics!$B11, 'Raw Data'!$B:$B, "Successful")/COUNTIF('Raw Data'!$I:$I, Metrics!$B11)),"")</f>
        <v/>
      </c>
      <c r="D11" s="4" t="str">
        <f>IFERROR(COUNTIFS('Raw Data'!$I:$I,Metrics!$B11,'Raw Data'!$D:$D,"*Lookup table queue not found in OEC*")/COUNTIF('Raw Data'!$I:$I,Metrics!$B11),"")</f>
        <v/>
      </c>
      <c r="E11" s="4" t="str">
        <f>IFERROR(COUNTIFS('Raw Data'!$I:$I,Metrics!$B11,'Raw Data'!$D:$D,"*OEC Account number is blank*")/COUNTIF('Raw Data'!$I:$I,Metrics!$B11),"")</f>
        <v/>
      </c>
      <c r="F11" s="4" t="str">
        <f>IFERROR(COUNTIFS('Raw Data'!$I:$I,Metrics!$B11,'Raw Data'!$D:$D,"*Lookup table account number not found in OEC*")/COUNTIF('Raw Data'!$I:$I,Metrics!$B11),"")</f>
        <v/>
      </c>
      <c r="G11" s="4" t="str">
        <f>IFERROR((COUNTIFS('Raw Data'!$I:$I, Metrics!$B11,'Raw Data'!$D:$D, "*OEC SR Customer Care Rep already updated*")/COUNTIF('Raw Data'!$I:$I, Metrics!$B11)),"")</f>
        <v/>
      </c>
      <c r="H11" s="4" t="str">
        <f>IFERROR((COUNTIFS('Raw Data'!$I:$I, Metrics!$B11,'Raw Data'!$D:$D, "*CCR not found in OEC*")/COUNTIF('Raw Data'!$I:$I, Metrics!$B11)),"")</f>
        <v/>
      </c>
      <c r="I11" s="4"/>
      <c r="J11" s="4"/>
      <c r="K11" s="4" t="str">
        <f>IFERROR((COUNTIFS('Raw Data'!$I:$I, Metrics!$B11,'Raw Data'!$D:$D, "SR Status is already updated")/COUNTIF('Raw Data'!$I:$I, Metrics!$B11)),"")</f>
        <v/>
      </c>
      <c r="L11" s="4" t="str">
        <f>IFERROR((COUNTIFS('Raw Data'!$I:$I, Metrics!$B11,'Raw Data'!$D:$D, "*SR Failed to Update*")/COUNTIF('Raw Data'!$I:$I, Metrics!$B11)),"")</f>
        <v/>
      </c>
    </row>
    <row r="12" spans="1:13" x14ac:dyDescent="0.35">
      <c r="A12" s="5" t="str">
        <f>IF(B12="","",'Raw Data'!$F$2)</f>
        <v/>
      </c>
      <c r="C12" s="4" t="str">
        <f>IFERROR((COUNTIFS('Raw Data'!$I:$I, Metrics!$B12, 'Raw Data'!$B:$B, "Successful")/COUNTIF('Raw Data'!$I:$I, Metrics!$B12)),"")</f>
        <v/>
      </c>
      <c r="D12" s="4" t="str">
        <f>IFERROR(COUNTIFS('Raw Data'!$I:$I,Metrics!$B12,'Raw Data'!$D:$D,"*Lookup table queue not found in OEC*")/COUNTIF('Raw Data'!$I:$I,Metrics!$B12),"")</f>
        <v/>
      </c>
      <c r="E12" s="4" t="str">
        <f>IFERROR(COUNTIFS('Raw Data'!$I:$I,Metrics!$B12,'Raw Data'!$D:$D,"*OEC Account number is blank*")/COUNTIF('Raw Data'!$I:$I,Metrics!$B12),"")</f>
        <v/>
      </c>
      <c r="F12" s="4" t="str">
        <f>IFERROR(COUNTIFS('Raw Data'!$I:$I,Metrics!$B12,'Raw Data'!$D:$D,"*Lookup table account number not found in OEC*")/COUNTIF('Raw Data'!$I:$I,Metrics!$B12),"")</f>
        <v/>
      </c>
      <c r="G12" s="4" t="str">
        <f>IFERROR((COUNTIFS('Raw Data'!$I:$I, Metrics!$B12,'Raw Data'!$D:$D, "*OEC SR Customer Care Rep already updated*")/COUNTIF('Raw Data'!$I:$I, Metrics!$B12)),"")</f>
        <v/>
      </c>
      <c r="H12" s="4" t="str">
        <f>IFERROR((COUNTIFS('Raw Data'!$I:$I, Metrics!$B12,'Raw Data'!$D:$D, "*CCR not found in OEC*")/COUNTIF('Raw Data'!$I:$I, Metrics!$B12)),"")</f>
        <v/>
      </c>
      <c r="I12" s="4"/>
      <c r="J12" s="4"/>
      <c r="K12" s="4" t="str">
        <f>IFERROR((COUNTIFS('Raw Data'!$I:$I, Metrics!$B12,'Raw Data'!$D:$D, "SR Status is already updated")/COUNTIF('Raw Data'!$I:$I, Metrics!$B12)),"")</f>
        <v/>
      </c>
      <c r="L12" s="4" t="str">
        <f>IFERROR((COUNTIFS('Raw Data'!$I:$I, Metrics!$B12,'Raw Data'!$D:$D, "*SR Failed to Update*")/COUNTIF('Raw Data'!$I:$I, Metrics!$B12)),"")</f>
        <v/>
      </c>
    </row>
    <row r="13" spans="1:13" x14ac:dyDescent="0.35">
      <c r="A13" s="5" t="str">
        <f>IF(B13="","",'Raw Data'!$F$2)</f>
        <v/>
      </c>
      <c r="C13" s="4" t="str">
        <f>IFERROR((COUNTIFS('Raw Data'!$I:$I, Metrics!$B13, 'Raw Data'!$B:$B, "Successful")/COUNTIF('Raw Data'!$I:$I, Metrics!$B13)),"")</f>
        <v/>
      </c>
      <c r="D13" s="4" t="str">
        <f>IFERROR(COUNTIFS('Raw Data'!$I:$I,Metrics!$B13,'Raw Data'!$D:$D,"*Lookup table queue not found in OEC*")/COUNTIF('Raw Data'!$I:$I,Metrics!$B13),"")</f>
        <v/>
      </c>
      <c r="E13" s="4" t="str">
        <f>IFERROR(COUNTIFS('Raw Data'!$I:$I,Metrics!$B13,'Raw Data'!$D:$D,"*OEC Account number is blank*")/COUNTIF('Raw Data'!$I:$I,Metrics!$B13),"")</f>
        <v/>
      </c>
      <c r="F13" s="4" t="str">
        <f>IFERROR(COUNTIFS('Raw Data'!$I:$I,Metrics!$B13,'Raw Data'!$D:$D,"*Lookup table account number not found in OEC*")/COUNTIF('Raw Data'!$I:$I,Metrics!$B13),"")</f>
        <v/>
      </c>
      <c r="G13" s="4" t="str">
        <f>IFERROR((COUNTIFS('Raw Data'!$I:$I, Metrics!$B13,'Raw Data'!$D:$D, "*OEC SR Customer Care Rep already updated*")/COUNTIF('Raw Data'!$I:$I, Metrics!$B13)),"")</f>
        <v/>
      </c>
      <c r="H13" s="4" t="str">
        <f>IFERROR((COUNTIFS('Raw Data'!$I:$I, Metrics!$B13,'Raw Data'!$D:$D, "*CCR not found in OEC*")/COUNTIF('Raw Data'!$I:$I, Metrics!$B13)),"")</f>
        <v/>
      </c>
      <c r="I13" s="4"/>
      <c r="J13" s="4"/>
      <c r="K13" s="4" t="str">
        <f>IFERROR((COUNTIFS('Raw Data'!$I:$I, Metrics!$B13,'Raw Data'!$D:$D, "SR Status is already updated")/COUNTIF('Raw Data'!$I:$I, Metrics!$B13)),"")</f>
        <v/>
      </c>
      <c r="L13" s="4" t="str">
        <f>IFERROR((COUNTIFS('Raw Data'!$I:$I, Metrics!$B13,'Raw Data'!$D:$D, "*SR Failed to Update*")/COUNTIF('Raw Data'!$I:$I, Metrics!$B13)),"")</f>
        <v/>
      </c>
    </row>
    <row r="14" spans="1:13" x14ac:dyDescent="0.35">
      <c r="A14" s="5" t="str">
        <f>IF(B14="","",'Raw Data'!$F$2)</f>
        <v/>
      </c>
      <c r="C14" s="4" t="str">
        <f>IFERROR((COUNTIFS('Raw Data'!$I:$I, Metrics!$B14, 'Raw Data'!$B:$B, "Successful")/COUNTIF('Raw Data'!$I:$I, Metrics!$B14)),"")</f>
        <v/>
      </c>
      <c r="D14" s="4" t="str">
        <f>IFERROR(COUNTIFS('Raw Data'!$I:$I,Metrics!$B14,'Raw Data'!$D:$D,"*Lookup table queue not found in OEC*")/COUNTIF('Raw Data'!$I:$I,Metrics!$B14),"")</f>
        <v/>
      </c>
      <c r="E14" s="4" t="str">
        <f>IFERROR(COUNTIFS('Raw Data'!$I:$I,Metrics!$B14,'Raw Data'!$D:$D,"*OEC Account number is blank*")/COUNTIF('Raw Data'!$I:$I,Metrics!$B14),"")</f>
        <v/>
      </c>
      <c r="F14" s="4" t="str">
        <f>IFERROR(COUNTIFS('Raw Data'!$I:$I,Metrics!$B14,'Raw Data'!$D:$D,"*Lookup table account number not found in OEC*")/COUNTIF('Raw Data'!$I:$I,Metrics!$B14),"")</f>
        <v/>
      </c>
      <c r="G14" s="4" t="str">
        <f>IFERROR((COUNTIFS('Raw Data'!$I:$I, Metrics!$B14,'Raw Data'!$D:$D, "*OEC SR Customer Care Rep already updated*")/COUNTIF('Raw Data'!$I:$I, Metrics!$B14)),"")</f>
        <v/>
      </c>
      <c r="H14" s="4" t="str">
        <f>IFERROR((COUNTIFS('Raw Data'!$I:$I, Metrics!$B14,'Raw Data'!$D:$D, "*CCR not found in OEC*")/COUNTIF('Raw Data'!$I:$I, Metrics!$B14)),"")</f>
        <v/>
      </c>
      <c r="I14" s="4"/>
      <c r="J14" s="4"/>
      <c r="K14" s="4" t="str">
        <f>IFERROR((COUNTIFS('Raw Data'!$I:$I, Metrics!$B14,'Raw Data'!$D:$D, "SR Status is already updated")/COUNTIF('Raw Data'!$I:$I, Metrics!$B14)),"")</f>
        <v/>
      </c>
      <c r="L14" s="4" t="str">
        <f>IFERROR((COUNTIFS('Raw Data'!$I:$I, Metrics!$B14,'Raw Data'!$D:$D, "*SR Failed to Update*")/COUNTIF('Raw Data'!$I:$I, Metrics!$B14)),"")</f>
        <v/>
      </c>
    </row>
    <row r="15" spans="1:13" x14ac:dyDescent="0.35">
      <c r="A15" s="5" t="str">
        <f>IF(B15="","",'Raw Data'!$F$2)</f>
        <v/>
      </c>
      <c r="C15" s="4" t="str">
        <f>IFERROR((COUNTIFS('Raw Data'!$I:$I, Metrics!$B15, 'Raw Data'!$B:$B, "Successful")/COUNTIF('Raw Data'!$I:$I, Metrics!$B15)),"")</f>
        <v/>
      </c>
      <c r="D15" s="4" t="str">
        <f>IFERROR(COUNTIFS('Raw Data'!$I:$I,Metrics!$B15,'Raw Data'!$D:$D,"*Lookup table queue not found in OEC*")/COUNTIF('Raw Data'!$I:$I,Metrics!$B15),"")</f>
        <v/>
      </c>
      <c r="E15" s="4" t="str">
        <f>IFERROR(COUNTIFS('Raw Data'!$I:$I,Metrics!$B15,'Raw Data'!$D:$D,"*OEC Account number is blank*")/COUNTIF('Raw Data'!$I:$I,Metrics!$B15),"")</f>
        <v/>
      </c>
      <c r="F15" s="4" t="str">
        <f>IFERROR(COUNTIFS('Raw Data'!$I:$I,Metrics!$B15,'Raw Data'!$D:$D,"*Lookup table account number not found in OEC*")/COUNTIF('Raw Data'!$I:$I,Metrics!$B15),"")</f>
        <v/>
      </c>
      <c r="G15" s="4" t="str">
        <f>IFERROR((COUNTIFS('Raw Data'!$I:$I, Metrics!$B15,'Raw Data'!$D:$D, "*OEC SR Customer Care Rep already updated*")/COUNTIF('Raw Data'!$I:$I, Metrics!$B15)),"")</f>
        <v/>
      </c>
      <c r="H15" s="4" t="str">
        <f>IFERROR((COUNTIFS('Raw Data'!$I:$I, Metrics!$B15,'Raw Data'!$D:$D, "*CCR not found in OEC*")/COUNTIF('Raw Data'!$I:$I, Metrics!$B15)),"")</f>
        <v/>
      </c>
      <c r="I15" s="4"/>
      <c r="J15" s="4"/>
      <c r="K15" s="4" t="str">
        <f>IFERROR((COUNTIFS('Raw Data'!$I:$I, Metrics!$B15,'Raw Data'!$D:$D, "SR Status is already updated")/COUNTIF('Raw Data'!$I:$I, Metrics!$B15)),"")</f>
        <v/>
      </c>
      <c r="L15" s="4" t="str">
        <f>IFERROR((COUNTIFS('Raw Data'!$I:$I, Metrics!$B15,'Raw Data'!$D:$D, "*SR Failed to Update*")/COUNTIF('Raw Data'!$I:$I, Metrics!$B15)),"")</f>
        <v/>
      </c>
    </row>
    <row r="16" spans="1:13" x14ac:dyDescent="0.35">
      <c r="A16" s="5" t="str">
        <f>IF(B16="","",'Raw Data'!$F$2)</f>
        <v/>
      </c>
      <c r="C16" s="4" t="str">
        <f>IFERROR((COUNTIFS('Raw Data'!$I:$I, Metrics!$B16, 'Raw Data'!$B:$B, "Successful")/COUNTIF('Raw Data'!$I:$I, Metrics!$B16)),"")</f>
        <v/>
      </c>
      <c r="D16" s="4" t="str">
        <f>IFERROR(COUNTIFS('Raw Data'!$I:$I,Metrics!$B16,'Raw Data'!$D:$D,"*Lookup table queue not found in OEC*")/COUNTIF('Raw Data'!$I:$I,Metrics!$B16),"")</f>
        <v/>
      </c>
      <c r="E16" s="4" t="str">
        <f>IFERROR(COUNTIFS('Raw Data'!$I:$I,Metrics!$B16,'Raw Data'!$D:$D,"*OEC Account number is blank*")/COUNTIF('Raw Data'!$I:$I,Metrics!$B16),"")</f>
        <v/>
      </c>
      <c r="F16" s="4" t="str">
        <f>IFERROR(COUNTIFS('Raw Data'!$I:$I,Metrics!$B16,'Raw Data'!$D:$D,"*Lookup table account number not found in OEC*")/COUNTIF('Raw Data'!$I:$I,Metrics!$B16),"")</f>
        <v/>
      </c>
      <c r="G16" s="4" t="str">
        <f>IFERROR((COUNTIFS('Raw Data'!$I:$I, Metrics!$B16,'Raw Data'!$D:$D, "*OEC SR Customer Care Rep already updated*")/COUNTIF('Raw Data'!$I:$I, Metrics!$B16)),"")</f>
        <v/>
      </c>
      <c r="H16" s="4" t="str">
        <f>IFERROR((COUNTIFS('Raw Data'!$I:$I, Metrics!$B16,'Raw Data'!$D:$D, "*CCR not found in OEC*")/COUNTIF('Raw Data'!$I:$I, Metrics!$B16)),"")</f>
        <v/>
      </c>
      <c r="I16" s="4"/>
      <c r="J16" s="4"/>
      <c r="K16" s="4" t="str">
        <f>IFERROR((COUNTIFS('Raw Data'!$I:$I, Metrics!$B16,'Raw Data'!$D:$D, "SR Status is already updated")/COUNTIF('Raw Data'!$I:$I, Metrics!$B16)),"")</f>
        <v/>
      </c>
      <c r="L16" s="4" t="str">
        <f>IFERROR((COUNTIFS('Raw Data'!$I:$I, Metrics!$B16,'Raw Data'!$D:$D, "*SR Failed to Update*")/COUNTIF('Raw Data'!$I:$I, Metrics!$B16)),"")</f>
        <v/>
      </c>
    </row>
    <row r="17" spans="1:12" x14ac:dyDescent="0.35">
      <c r="A17" s="5" t="str">
        <f>IF(B17="","",'Raw Data'!$F$2)</f>
        <v/>
      </c>
      <c r="C17" s="4" t="str">
        <f>IFERROR((COUNTIFS('Raw Data'!$I:$I, Metrics!$B17, 'Raw Data'!$B:$B, "Successful")/COUNTIF('Raw Data'!$I:$I, Metrics!$B17)),"")</f>
        <v/>
      </c>
      <c r="D17" s="4" t="str">
        <f>IFERROR(COUNTIFS('Raw Data'!$I:$I,Metrics!$B17,'Raw Data'!$D:$D,"*Lookup table queue not found in OEC*")/COUNTIF('Raw Data'!$I:$I,Metrics!$B17),"")</f>
        <v/>
      </c>
      <c r="E17" s="4" t="str">
        <f>IFERROR(COUNTIFS('Raw Data'!$I:$I,Metrics!$B17,'Raw Data'!$D:$D,"*OEC Account number is blank*")/COUNTIF('Raw Data'!$I:$I,Metrics!$B17),"")</f>
        <v/>
      </c>
      <c r="F17" s="4" t="str">
        <f>IFERROR(COUNTIFS('Raw Data'!$I:$I,Metrics!$B17,'Raw Data'!$D:$D,"*Lookup table account number not found in OEC*")/COUNTIF('Raw Data'!$I:$I,Metrics!$B17),"")</f>
        <v/>
      </c>
      <c r="G17" s="4" t="str">
        <f>IFERROR((COUNTIFS('Raw Data'!$I:$I, Metrics!$B17,'Raw Data'!$D:$D, "*OEC SR Customer Care Rep already updated*")/COUNTIF('Raw Data'!$I:$I, Metrics!$B17)),"")</f>
        <v/>
      </c>
      <c r="H17" s="4" t="str">
        <f>IFERROR((COUNTIFS('Raw Data'!$I:$I, Metrics!$B17,'Raw Data'!$D:$D, "*CCR not found in OEC*")/COUNTIF('Raw Data'!$I:$I, Metrics!$B17)),"")</f>
        <v/>
      </c>
      <c r="I17" s="4"/>
      <c r="J17" s="4"/>
      <c r="K17" s="4" t="str">
        <f>IFERROR((COUNTIFS('Raw Data'!$I:$I, Metrics!$B17,'Raw Data'!$D:$D, "SR Status is already updated")/COUNTIF('Raw Data'!$I:$I, Metrics!$B17)),"")</f>
        <v/>
      </c>
      <c r="L17" s="4" t="str">
        <f>IFERROR((COUNTIFS('Raw Data'!$I:$I, Metrics!$B17,'Raw Data'!$D:$D, "*SR Failed to Update*")/COUNTIF('Raw Data'!$I:$I, Metrics!$B17)),"")</f>
        <v/>
      </c>
    </row>
    <row r="18" spans="1:12" x14ac:dyDescent="0.35">
      <c r="A18" s="5" t="str">
        <f>IF(B18="","",'Raw Data'!$F$2)</f>
        <v/>
      </c>
      <c r="C18" s="4" t="str">
        <f>IFERROR((COUNTIFS('Raw Data'!$I:$I, Metrics!$B18, 'Raw Data'!$B:$B, "Successful")/COUNTIF('Raw Data'!$I:$I, Metrics!$B18)),"")</f>
        <v/>
      </c>
      <c r="D18" s="4" t="str">
        <f>IFERROR(COUNTIFS('Raw Data'!$I:$I,Metrics!$B18,'Raw Data'!$D:$D,"*Lookup table queue not found in OEC*")/COUNTIF('Raw Data'!$I:$I,Metrics!$B18),"")</f>
        <v/>
      </c>
      <c r="E18" s="4" t="str">
        <f>IFERROR(COUNTIFS('Raw Data'!$I:$I,Metrics!$B18,'Raw Data'!$D:$D,"*OEC Account number is blank*")/COUNTIF('Raw Data'!$I:$I,Metrics!$B18),"")</f>
        <v/>
      </c>
      <c r="F18" s="4" t="str">
        <f>IFERROR(COUNTIFS('Raw Data'!$I:$I,Metrics!$B18,'Raw Data'!$D:$D,"*Lookup table account number not found in OEC*")/COUNTIF('Raw Data'!$I:$I,Metrics!$B18),"")</f>
        <v/>
      </c>
      <c r="G18" s="4" t="str">
        <f>IFERROR((COUNTIFS('Raw Data'!$I:$I, Metrics!$B18,'Raw Data'!$D:$D, "*OEC SR Customer Care Rep already updated*")/COUNTIF('Raw Data'!$I:$I, Metrics!$B18)),"")</f>
        <v/>
      </c>
      <c r="H18" s="4" t="str">
        <f>IFERROR((COUNTIFS('Raw Data'!$I:$I, Metrics!$B18,'Raw Data'!$D:$D, "*CCR not found in OEC*")/COUNTIF('Raw Data'!$I:$I, Metrics!$B18)),"")</f>
        <v/>
      </c>
      <c r="I18" s="4"/>
      <c r="J18" s="4"/>
      <c r="K18" s="4" t="str">
        <f>IFERROR((COUNTIFS('Raw Data'!$I:$I, Metrics!$B18,'Raw Data'!$D:$D, "SR Status is already updated")/COUNTIF('Raw Data'!$I:$I, Metrics!$B18)),"")</f>
        <v/>
      </c>
      <c r="L18" s="4" t="str">
        <f>IFERROR((COUNTIFS('Raw Data'!$I:$I, Metrics!$B18,'Raw Data'!$D:$D, "*SR Failed to Update*")/COUNTIF('Raw Data'!$I:$I, Metrics!$B18)),"")</f>
        <v/>
      </c>
    </row>
    <row r="19" spans="1:12" x14ac:dyDescent="0.35">
      <c r="A19" s="5" t="str">
        <f>IF(B19="","",'Raw Data'!$F$2)</f>
        <v/>
      </c>
      <c r="D19" s="4" t="str">
        <f>IFERROR(COUNTIFS('Raw Data'!$I:$I,Metrics!$B19,'Raw Data'!$D:$D,"*Lookup table queue not found in OEC*")/COUNTIF('Raw Data'!$I:$I,Metrics!$B19),"")</f>
        <v/>
      </c>
      <c r="E19" s="4" t="str">
        <f>IFERROR(COUNTIFS('Raw Data'!$I:$I,Metrics!$B19,'Raw Data'!$D:$D,"*OEC Account number is blank*")/COUNTIF('Raw Data'!$I:$I,Metrics!$B19),"")</f>
        <v/>
      </c>
      <c r="F19" s="4" t="str">
        <f>IFERROR(COUNTIFS('Raw Data'!$I:$I,Metrics!$B19,'Raw Data'!$D:$D,"*Lookup table account number not found in OEC*")/COUNTIF('Raw Data'!$I:$I,Metrics!$B19),"")</f>
        <v/>
      </c>
      <c r="G19" s="4" t="str">
        <f>IFERROR((COUNTIFS('Raw Data'!$I:$I, Metrics!$B19,'Raw Data'!$D:$D, "*OEC SR Customer Care Rep already updated*")/COUNTIF('Raw Data'!$I:$I, Metrics!$B19)),"")</f>
        <v/>
      </c>
      <c r="H19" s="4" t="str">
        <f>IFERROR((COUNTIFS('Raw Data'!$I:$I, Metrics!$B19,'Raw Data'!$D:$D, "*CCR not found in OEC*")/COUNTIF('Raw Data'!$I:$I, Metrics!$B19)),"")</f>
        <v/>
      </c>
      <c r="I19" s="4"/>
      <c r="J19" s="4"/>
      <c r="K19" s="4" t="str">
        <f>IFERROR((COUNTIFS('Raw Data'!$I:$I, Metrics!$B19,'Raw Data'!$D:$D, "SR Status is already updated")/COUNTIF('Raw Data'!$I:$I, Metrics!$B19)),"")</f>
        <v/>
      </c>
      <c r="L19" s="4" t="str">
        <f>IFERROR((COUNTIFS('Raw Data'!$I:$I, Metrics!$B19,'Raw Data'!$D:$D, "*SR Failed to Update*")/COUNTIF('Raw Data'!$I:$I, Metrics!$B19)),"")</f>
        <v/>
      </c>
    </row>
    <row r="20" spans="1:12" x14ac:dyDescent="0.35">
      <c r="A20" s="5" t="str">
        <f>IF(B20="","",'Raw Data'!$F$2)</f>
        <v/>
      </c>
      <c r="D20" s="4" t="str">
        <f>IFERROR(COUNTIFS('Raw Data'!$I:$I,Metrics!$B20,'Raw Data'!$D:$D,"*Lookup table queue not found in OEC*")/COUNTIF('Raw Data'!$I:$I,Metrics!$B20),"")</f>
        <v/>
      </c>
      <c r="E20" s="4" t="str">
        <f>IFERROR(COUNTIFS('Raw Data'!$I:$I,Metrics!$B20,'Raw Data'!$D:$D,"*OEC Account number is blank*")/COUNTIF('Raw Data'!$I:$I,Metrics!$B20),"")</f>
        <v/>
      </c>
      <c r="F20" s="4" t="str">
        <f>IFERROR(COUNTIFS('Raw Data'!$I:$I,Metrics!$B20,'Raw Data'!$D:$D,"*Lookup table account number not found in OEC*")/COUNTIF('Raw Data'!$I:$I,Metrics!$B20),"")</f>
        <v/>
      </c>
      <c r="G20" s="4" t="str">
        <f>IFERROR((COUNTIFS('Raw Data'!$I:$I, Metrics!$B20,'Raw Data'!$D:$D, "*OEC SR Customer Care Rep already updated*")/COUNTIF('Raw Data'!$I:$I, Metrics!$B20)),"")</f>
        <v/>
      </c>
      <c r="H20" s="4" t="str">
        <f>IFERROR((COUNTIFS('Raw Data'!$I:$I, Metrics!$B20,'Raw Data'!$D:$D, "*CCR not found in OEC*")/COUNTIF('Raw Data'!$I:$I, Metrics!$B20)),"")</f>
        <v/>
      </c>
      <c r="I20" s="4"/>
      <c r="J20" s="4"/>
      <c r="K20" s="4" t="str">
        <f>IFERROR((COUNTIFS('Raw Data'!$I:$I, Metrics!$B20,'Raw Data'!$D:$D, "SR Status is already updated")/COUNTIF('Raw Data'!$I:$I, Metrics!$B20)),"")</f>
        <v/>
      </c>
      <c r="L20" s="4" t="str">
        <f>IFERROR((COUNTIFS('Raw Data'!$I:$I, Metrics!$B20,'Raw Data'!$D:$D, "*SR Failed to Update*")/COUNTIF('Raw Data'!$I:$I, Metrics!$B20)),"")</f>
        <v/>
      </c>
    </row>
    <row r="21" spans="1:12" x14ac:dyDescent="0.35">
      <c r="A21" s="5" t="str">
        <f>IF(B21="","",'Raw Data'!$F$2)</f>
        <v/>
      </c>
      <c r="D21" s="4" t="str">
        <f>IFERROR(COUNTIFS('Raw Data'!$I:$I,Metrics!$B21,'Raw Data'!$D:$D,"*Lookup table queue not found in OEC*")/COUNTIF('Raw Data'!$I:$I,Metrics!$B21),"")</f>
        <v/>
      </c>
      <c r="E21" s="4" t="str">
        <f>IFERROR(COUNTIFS('Raw Data'!$I:$I,Metrics!$B21,'Raw Data'!$D:$D,"*OEC Account number is blank*")/COUNTIF('Raw Data'!$I:$I,Metrics!$B21),"")</f>
        <v/>
      </c>
      <c r="F21" s="4" t="str">
        <f>IFERROR(COUNTIFS('Raw Data'!$I:$I,Metrics!$B21,'Raw Data'!$D:$D,"*Lookup table account number not found in OEC*")/COUNTIF('Raw Data'!$I:$I,Metrics!$B21),"")</f>
        <v/>
      </c>
      <c r="G21" s="4" t="str">
        <f>IFERROR((COUNTIFS('Raw Data'!$I:$I, Metrics!$B21,'Raw Data'!$D:$D, "*OEC SR Customer Care Rep already updated*")/COUNTIF('Raw Data'!$I:$I, Metrics!$B21)),"")</f>
        <v/>
      </c>
      <c r="H21" s="4" t="str">
        <f>IFERROR((COUNTIFS('Raw Data'!$I:$I, Metrics!$B21,'Raw Data'!$D:$D, "*CCR not found in OEC*")/COUNTIF('Raw Data'!$I:$I, Metrics!$B21)),"")</f>
        <v/>
      </c>
      <c r="I21" s="4"/>
      <c r="J21" s="4"/>
      <c r="K21" s="4" t="str">
        <f>IFERROR((COUNTIFS('Raw Data'!$I:$I, Metrics!$B21,'Raw Data'!$D:$D, "SR Status is already updated")/COUNTIF('Raw Data'!$I:$I, Metrics!$B21)),"")</f>
        <v/>
      </c>
      <c r="L21" s="4" t="str">
        <f>IFERROR((COUNTIFS('Raw Data'!$I:$I, Metrics!$B21,'Raw Data'!$D:$D, "*SR Failed to Update*")/COUNTIF('Raw Data'!$I:$I, Metrics!$B21)),"")</f>
        <v/>
      </c>
    </row>
    <row r="22" spans="1:12" x14ac:dyDescent="0.35">
      <c r="A22" s="5" t="str">
        <f>IF(B22="","",'Raw Data'!$F$2)</f>
        <v/>
      </c>
      <c r="D22" s="4" t="str">
        <f>IFERROR(COUNTIFS('Raw Data'!$I:$I,Metrics!$B22,'Raw Data'!$D:$D,"*Lookup table queue not found in OEC*")/COUNTIF('Raw Data'!$I:$I,Metrics!$B22),"")</f>
        <v/>
      </c>
      <c r="E22" s="4" t="str">
        <f>IFERROR(COUNTIFS('Raw Data'!$I:$I,Metrics!$B22,'Raw Data'!$D:$D,"*OEC Account number is blank*")/COUNTIF('Raw Data'!$I:$I,Metrics!$B22),"")</f>
        <v/>
      </c>
      <c r="F22" s="4" t="str">
        <f>IFERROR(COUNTIFS('Raw Data'!$I:$I,Metrics!$B22,'Raw Data'!$D:$D,"*Lookup table account number not found in OEC*")/COUNTIF('Raw Data'!$I:$I,Metrics!$B22),"")</f>
        <v/>
      </c>
      <c r="G22" s="4" t="str">
        <f>IFERROR((COUNTIFS('Raw Data'!$I:$I, Metrics!$B22,'Raw Data'!$D:$D, "*OEC SR Customer Care Rep already updated*")/COUNTIF('Raw Data'!$I:$I, Metrics!$B22)),"")</f>
        <v/>
      </c>
      <c r="H22" s="4" t="str">
        <f>IFERROR((COUNTIFS('Raw Data'!$I:$I, Metrics!$B22,'Raw Data'!$D:$D, "*CCR not found in OEC*")/COUNTIF('Raw Data'!$I:$I, Metrics!$B22)),"")</f>
        <v/>
      </c>
      <c r="I22" s="4"/>
      <c r="J22" s="4"/>
      <c r="K22" s="4" t="str">
        <f>IFERROR((COUNTIFS('Raw Data'!$I:$I, Metrics!$B22,'Raw Data'!$D:$D, "SR Status is already updated")/COUNTIF('Raw Data'!$I:$I, Metrics!$B22)),"")</f>
        <v/>
      </c>
      <c r="L22" s="4" t="str">
        <f>IFERROR((COUNTIFS('Raw Data'!$I:$I, Metrics!$B22,'Raw Data'!$D:$D, "*SR Failed to Update*")/COUNTIF('Raw Data'!$I:$I, Metrics!$B22)),"")</f>
        <v/>
      </c>
    </row>
    <row r="23" spans="1:12" x14ac:dyDescent="0.35">
      <c r="A23" s="5" t="str">
        <f>IF(B23="","",'Raw Data'!$F$2)</f>
        <v/>
      </c>
      <c r="D23" s="4" t="str">
        <f>IFERROR(COUNTIFS('Raw Data'!$I:$I,Metrics!$B23,'Raw Data'!$D:$D,"*Lookup table queue not found in OEC*")/COUNTIF('Raw Data'!$I:$I,Metrics!$B23),"")</f>
        <v/>
      </c>
      <c r="E23" s="4" t="str">
        <f>IFERROR(COUNTIFS('Raw Data'!$I:$I,Metrics!$B23,'Raw Data'!$D:$D,"*OEC Account number is blank*")/COUNTIF('Raw Data'!$I:$I,Metrics!$B23),"")</f>
        <v/>
      </c>
      <c r="F23" s="4" t="str">
        <f>IFERROR(COUNTIFS('Raw Data'!$I:$I,Metrics!$B23,'Raw Data'!$D:$D,"*Lookup table account number not found in OEC*")/COUNTIF('Raw Data'!$I:$I,Metrics!$B23),"")</f>
        <v/>
      </c>
      <c r="G23" s="4" t="str">
        <f>IFERROR((COUNTIFS('Raw Data'!$I:$I, Metrics!$B23,'Raw Data'!$D:$D, "*OEC SR Customer Care Rep already updated*")/COUNTIF('Raw Data'!$I:$I, Metrics!$B23)),"")</f>
        <v/>
      </c>
      <c r="H23" s="4" t="str">
        <f>IFERROR((COUNTIFS('Raw Data'!$I:$I, Metrics!$B23,'Raw Data'!$D:$D, "*CCR not found in OEC*")/COUNTIF('Raw Data'!$I:$I, Metrics!$B23)),"")</f>
        <v/>
      </c>
      <c r="I23" s="4"/>
      <c r="J23" s="4"/>
      <c r="K23" s="4" t="str">
        <f>IFERROR((COUNTIFS('Raw Data'!$I:$I, Metrics!$B23,'Raw Data'!$D:$D, "SR Status is already updated")/COUNTIF('Raw Data'!$I:$I, Metrics!$B23)),"")</f>
        <v/>
      </c>
      <c r="L23" s="4" t="str">
        <f>IFERROR((COUNTIFS('Raw Data'!$I:$I, Metrics!$B23,'Raw Data'!$D:$D, "*SR Failed to Update*")/COUNTIF('Raw Data'!$I:$I, Metrics!$B23)),"")</f>
        <v/>
      </c>
    </row>
    <row r="24" spans="1:12" x14ac:dyDescent="0.35">
      <c r="A24" s="5" t="str">
        <f>IF(B24="","",'Raw Data'!$F$2)</f>
        <v/>
      </c>
      <c r="D24" s="4" t="str">
        <f>IFERROR(COUNTIFS('Raw Data'!$I:$I,Metrics!$B24,'Raw Data'!$D:$D,"*Lookup table queue not found in OEC*")/COUNTIF('Raw Data'!$I:$I,Metrics!$B24),"")</f>
        <v/>
      </c>
      <c r="E24" s="4" t="str">
        <f>IFERROR(COUNTIFS('Raw Data'!$I:$I,Metrics!$B24,'Raw Data'!$D:$D,"*OEC Account number is blank*")/COUNTIF('Raw Data'!$I:$I,Metrics!$B24),"")</f>
        <v/>
      </c>
      <c r="F24" s="4" t="str">
        <f>IFERROR(COUNTIFS('Raw Data'!$I:$I,Metrics!$B24,'Raw Data'!$D:$D,"*Lookup table account number not found in OEC*")/COUNTIF('Raw Data'!$I:$I,Metrics!$B24),"")</f>
        <v/>
      </c>
      <c r="G24" s="4" t="str">
        <f>IFERROR((COUNTIFS('Raw Data'!$I:$I, Metrics!$B24,'Raw Data'!$D:$D, "*OEC SR Customer Care Rep already updated*")/COUNTIF('Raw Data'!$I:$I, Metrics!$B24)),"")</f>
        <v/>
      </c>
      <c r="H24" s="4" t="str">
        <f>IFERROR((COUNTIFS('Raw Data'!$I:$I, Metrics!$B24,'Raw Data'!$D:$D, "*CCR not found in OEC*")/COUNTIF('Raw Data'!$I:$I, Metrics!$B24)),"")</f>
        <v/>
      </c>
      <c r="I24" s="4"/>
      <c r="J24" s="4"/>
      <c r="K24" s="4" t="str">
        <f>IFERROR((COUNTIFS('Raw Data'!$I:$I, Metrics!$B24,'Raw Data'!$D:$D, "SR Status is already updated")/COUNTIF('Raw Data'!$I:$I, Metrics!$B24)),"")</f>
        <v/>
      </c>
      <c r="L24" s="4" t="str">
        <f>IFERROR((COUNTIFS('Raw Data'!$I:$I, Metrics!$B24,'Raw Data'!$D:$D, "*SR Failed to Update*")/COUNTIF('Raw Data'!$I:$I, Metrics!$B24)),"")</f>
        <v/>
      </c>
    </row>
    <row r="25" spans="1:12" x14ac:dyDescent="0.35">
      <c r="A25" s="5" t="str">
        <f>IF(B25="","",'Raw Data'!$F$2)</f>
        <v/>
      </c>
      <c r="D25" s="4" t="str">
        <f>IFERROR(COUNTIFS('Raw Data'!$I:$I,Metrics!$B25,'Raw Data'!$D:$D,"*Lookup table queue not found in OEC*")/COUNTIF('Raw Data'!$I:$I,Metrics!$B25),"")</f>
        <v/>
      </c>
      <c r="E25" s="4" t="str">
        <f>IFERROR(COUNTIFS('Raw Data'!$I:$I,Metrics!$B25,'Raw Data'!$D:$D,"*OEC Account number is blank*")/COUNTIF('Raw Data'!$I:$I,Metrics!$B25),"")</f>
        <v/>
      </c>
      <c r="F25" s="4" t="str">
        <f>IFERROR(COUNTIFS('Raw Data'!$I:$I,Metrics!$B25,'Raw Data'!$D:$D,"*Lookup table account number not found in OEC*")/COUNTIF('Raw Data'!$I:$I,Metrics!$B25),"")</f>
        <v/>
      </c>
      <c r="G25" s="4" t="str">
        <f>IFERROR((COUNTIFS('Raw Data'!$I:$I, Metrics!$B25,'Raw Data'!$D:$D, "*OEC SR Customer Care Rep already updated*")/COUNTIF('Raw Data'!$I:$I, Metrics!$B25)),"")</f>
        <v/>
      </c>
      <c r="H25" s="4" t="str">
        <f>IFERROR((COUNTIFS('Raw Data'!$I:$I, Metrics!$B25,'Raw Data'!$D:$D, "*CCR not found in OEC*")/COUNTIF('Raw Data'!$I:$I, Metrics!$B25)),"")</f>
        <v/>
      </c>
      <c r="I25" s="4"/>
      <c r="J25" s="4"/>
      <c r="K25" s="4" t="str">
        <f>IFERROR((COUNTIFS('Raw Data'!$I:$I, Metrics!$B25,'Raw Data'!$D:$D, "SR Status is already updated")/COUNTIF('Raw Data'!$I:$I, Metrics!$B25)),"")</f>
        <v/>
      </c>
      <c r="L25" s="4" t="str">
        <f>IFERROR((COUNTIFS('Raw Data'!$I:$I, Metrics!$B25,'Raw Data'!$D:$D, "*SR Failed to Update*")/COUNTIF('Raw Data'!$I:$I, Metrics!$B25)),"")</f>
        <v/>
      </c>
    </row>
    <row r="26" spans="1:12" x14ac:dyDescent="0.35">
      <c r="A26" s="5" t="str">
        <f>IF(B26="","",'Raw Data'!$F26)</f>
        <v/>
      </c>
      <c r="D26" s="4" t="str">
        <f>IFERROR(COUNTIFS('Raw Data'!$I:$I,Metrics!$B26,'Raw Data'!$D:$D,"*Lookup table queue not found in OEC*")/COUNTIF('Raw Data'!$I:$I,Metrics!$B26),"")</f>
        <v/>
      </c>
      <c r="E26" s="4" t="str">
        <f>IFERROR(COUNTIFS('Raw Data'!$I:$I,Metrics!$B26,'Raw Data'!$D:$D,"*OEC Account number is blank*")/COUNTIF('Raw Data'!$I:$I,Metrics!$B26),"")</f>
        <v/>
      </c>
      <c r="F26" s="4" t="str">
        <f>IFERROR(COUNTIFS('Raw Data'!$I:$I,Metrics!$B26,'Raw Data'!$D:$D,"*Lookup table account number not found in OEC*")/COUNTIF('Raw Data'!$I:$I,Metrics!$B26),"")</f>
        <v/>
      </c>
      <c r="G26" s="4" t="str">
        <f>IFERROR((COUNTIFS('Raw Data'!$I:$I, Metrics!$B26,'Raw Data'!$D:$D, "*OEC SR Customer Care Rep already updated*")/COUNTIF('Raw Data'!$I:$I, Metrics!$B26)),"")</f>
        <v/>
      </c>
      <c r="H26" s="4" t="str">
        <f>IFERROR((COUNTIFS('Raw Data'!$I:$I, Metrics!$B26,'Raw Data'!$D:$D, "*CCR not found in OEC*")/COUNTIF('Raw Data'!$I:$I, Metrics!$B26)),"")</f>
        <v/>
      </c>
      <c r="I26" s="4"/>
      <c r="J26" s="4"/>
      <c r="K26" s="4" t="str">
        <f>IFERROR((COUNTIFS('Raw Data'!$I:$I, Metrics!$B26,'Raw Data'!$D:$D, "SR Status is already updated")/COUNTIF('Raw Data'!$I:$I, Metrics!$B26)),"")</f>
        <v/>
      </c>
      <c r="L26" s="4" t="str">
        <f>IFERROR((COUNTIFS('Raw Data'!$I:$I, Metrics!$B26,'Raw Data'!$D:$D, "*SR Failed to Update*")/COUNTIF('Raw Data'!$I:$I, Metrics!$B26)),"")</f>
        <v/>
      </c>
    </row>
    <row r="27" spans="1:12" x14ac:dyDescent="0.35">
      <c r="A27" s="5" t="str">
        <f>IF(B27="","",'Raw Data'!$F27)</f>
        <v/>
      </c>
      <c r="D27" s="4" t="str">
        <f>IFERROR(COUNTIFS('Raw Data'!$I:$I,Metrics!$B27,'Raw Data'!$D:$D,"*Lookup table queue not found in OEC*")/COUNTIF('Raw Data'!$I:$I,Metrics!$B27),"")</f>
        <v/>
      </c>
      <c r="E27" s="4" t="str">
        <f>IFERROR(COUNTIFS('Raw Data'!$I:$I,Metrics!$B27,'Raw Data'!$D:$D,"*OEC Account number is blank*")/COUNTIF('Raw Data'!$I:$I,Metrics!$B27),"")</f>
        <v/>
      </c>
      <c r="F27" s="4" t="str">
        <f>IFERROR(COUNTIFS('Raw Data'!$I:$I,Metrics!$B27,'Raw Data'!$D:$D,"*Lookup table account number not found in OEC*")/COUNTIF('Raw Data'!$I:$I,Metrics!$B27),"")</f>
        <v/>
      </c>
      <c r="G27" s="4" t="str">
        <f>IFERROR((COUNTIFS('Raw Data'!$I:$I, Metrics!$B27,'Raw Data'!$D:$D, "*OEC SR Customer Care Rep already updated*")/COUNTIF('Raw Data'!$I:$I, Metrics!$B27)),"")</f>
        <v/>
      </c>
      <c r="K27" s="4" t="str">
        <f>IFERROR((COUNTIFS('Raw Data'!$I:$I, Metrics!$B27,'Raw Data'!$D:$D, "SR Status is already updated")/COUNTIF('Raw Data'!$I:$I, Metrics!$B27)),"")</f>
        <v/>
      </c>
      <c r="L27" s="4" t="str">
        <f>IFERROR((COUNTIFS('Raw Data'!$I:$I, Metrics!$B27,'Raw Data'!$D:$D, "*SR Failed to Update*")/COUNTIF('Raw Data'!$I:$I, Metrics!$B27)),"")</f>
        <v/>
      </c>
    </row>
    <row r="28" spans="1:12" x14ac:dyDescent="0.35">
      <c r="A28" s="5" t="str">
        <f>IF(B28="","",'Raw Data'!$F28)</f>
        <v/>
      </c>
      <c r="D28" s="4" t="str">
        <f>IFERROR(COUNTIFS('Raw Data'!$I:$I,Metrics!$B28,'Raw Data'!$D:$D,"*Lookup table queue not found in OEC*")/COUNTIF('Raw Data'!$I:$I,Metrics!$B28),"")</f>
        <v/>
      </c>
      <c r="E28" s="4" t="str">
        <f>IFERROR(COUNTIFS('Raw Data'!$I:$I,Metrics!$B28,'Raw Data'!$D:$D,"*OEC Account number is blank*")/COUNTIF('Raw Data'!$I:$I,Metrics!$B28),"")</f>
        <v/>
      </c>
      <c r="F28" s="4" t="str">
        <f>IFERROR(COUNTIFS('Raw Data'!$I:$I,Metrics!$B28,'Raw Data'!$D:$D,"*Lookup table account number not found in OEC*")/COUNTIF('Raw Data'!$I:$I,Metrics!$B28),"")</f>
        <v/>
      </c>
      <c r="G28" s="4" t="str">
        <f>IFERROR((COUNTIFS('Raw Data'!$I:$I, Metrics!$B28,'Raw Data'!$D:$D, "*OEC SR Customer Care Rep already updated*")/COUNTIF('Raw Data'!$I:$I, Metrics!$B28)),"")</f>
        <v/>
      </c>
      <c r="K28" s="4" t="str">
        <f>IFERROR((COUNTIFS('Raw Data'!$I:$I, Metrics!$B28,'Raw Data'!$D:$D, "SR Status is already updated")/COUNTIF('Raw Data'!$I:$I, Metrics!$B28)),"")</f>
        <v/>
      </c>
      <c r="L28" s="4" t="str">
        <f>IFERROR((COUNTIFS('Raw Data'!$I:$I, Metrics!$B28,'Raw Data'!$D:$D, "*SR Failed to Update*")/COUNTIF('Raw Data'!$I:$I, Metrics!$B28)),"")</f>
        <v/>
      </c>
    </row>
    <row r="29" spans="1:12" x14ac:dyDescent="0.35">
      <c r="A29" s="5" t="str">
        <f>IF(B29="","",'Raw Data'!$F29)</f>
        <v/>
      </c>
      <c r="D29" s="4" t="str">
        <f>IFERROR(COUNTIFS('Raw Data'!$I:$I,Metrics!$B29,'Raw Data'!$D:$D,"*Lookup table queue not found in OEC*")/COUNTIF('Raw Data'!$I:$I,Metrics!$B29),"")</f>
        <v/>
      </c>
      <c r="E29" s="4" t="str">
        <f>IFERROR(COUNTIFS('Raw Data'!$I:$I,Metrics!$B29,'Raw Data'!$D:$D,"*OEC Account number is blank*")/COUNTIF('Raw Data'!$I:$I,Metrics!$B29),"")</f>
        <v/>
      </c>
      <c r="F29" s="4" t="str">
        <f>IFERROR(COUNTIFS('Raw Data'!$I:$I,Metrics!$B29,'Raw Data'!$D:$D,"*Account number or queue name not found in lookup Sheet*")/COUNTIF('Raw Data'!$I:$I,Metrics!$B29),"")</f>
        <v/>
      </c>
      <c r="G29" s="4" t="str">
        <f>IFERROR((COUNTIFS('Raw Data'!$I:$I, Metrics!$B29,'Raw Data'!$D:$D, "*OEC SR Customer Care Rep already updated*")/COUNTIF('Raw Data'!$I:$I, Metrics!$B29)),"")</f>
        <v/>
      </c>
      <c r="K29" s="4" t="str">
        <f>IFERROR((COUNTIFS('Raw Data'!$I:$I, Metrics!$B29,'Raw Data'!$D:$D, "SR Status is already updated")/COUNTIF('Raw Data'!$I:$I, Metrics!$B29)),"")</f>
        <v/>
      </c>
      <c r="L29" s="4" t="str">
        <f>IFERROR((COUNTIFS('Raw Data'!$I:$I, Metrics!$B29,'Raw Data'!$D:$D, "*SR Failed to Update*")/COUNTIF('Raw Data'!$I:$I, Metrics!$B29)),"")</f>
        <v/>
      </c>
    </row>
    <row r="30" spans="1:12" x14ac:dyDescent="0.35">
      <c r="D30" s="4" t="str">
        <f>IFERROR(COUNTIFS('Raw Data'!$I:$I,Metrics!$B30,'Raw Data'!$D:$D,"*Lookup table queue not found in OEC*")/COUNTIF('Raw Data'!$I:$I,Metrics!$B30),"")</f>
        <v/>
      </c>
      <c r="E30" s="4" t="str">
        <f>IFERROR(COUNTIFS('Raw Data'!$I:$I,Metrics!$B30,'Raw Data'!$D:$D,"*OEC Account number is blank*")/COUNTIF('Raw Data'!$I:$I,Metrics!$B30),"")</f>
        <v/>
      </c>
      <c r="F30" s="4" t="str">
        <f>IFERROR(COUNTIFS('Raw Data'!$I:$I,Metrics!$B30,'Raw Data'!$D:$D,"*Account number or queue name not found in lookup Sheet*")/COUNTIF('Raw Data'!$I:$I,Metrics!$B30),"")</f>
        <v/>
      </c>
      <c r="G30" s="4" t="str">
        <f>IFERROR((COUNTIFS('Raw Data'!$I:$I, Metrics!$B30,'Raw Data'!$D:$D, "*OEC SR Customer Care Rep already updated*")/COUNTIF('Raw Data'!$I:$I, Metrics!$B30)),"")</f>
        <v/>
      </c>
      <c r="K30" s="4" t="str">
        <f>IFERROR((COUNTIFS('Raw Data'!$I:$I, Metrics!$B30,'Raw Data'!$D:$D, "SR Status is already updated")/COUNTIF('Raw Data'!$I:$I, Metrics!$B30)),"")</f>
        <v/>
      </c>
      <c r="L30" s="4" t="str">
        <f>IFERROR((COUNTIFS('Raw Data'!$I:$I, Metrics!$B30,'Raw Data'!$D:$D, "*SR Failed to Update*")/COUNTIF('Raw Data'!$I:$I, Metrics!$B30)),"")</f>
        <v/>
      </c>
    </row>
    <row r="31" spans="1:12" x14ac:dyDescent="0.35">
      <c r="D31" s="4" t="str">
        <f>IFERROR(COUNTIFS('Raw Data'!$I:$I,Metrics!$B31,'Raw Data'!$D:$D,"*Lookup table queue not found in OEC*")/COUNTIF('Raw Data'!$I:$I,Metrics!$B31),"")</f>
        <v/>
      </c>
      <c r="E31" s="4" t="str">
        <f>IFERROR(COUNTIFS('Raw Data'!$I:$I,Metrics!$B31,'Raw Data'!$D:$D,"*OEC Account number is blank*")/COUNTIF('Raw Data'!$I:$I,Metrics!$B31),"")</f>
        <v/>
      </c>
      <c r="F31" s="4" t="str">
        <f>IFERROR(COUNTIFS('Raw Data'!$I:$I,Metrics!$B31,'Raw Data'!$D:$D,"*Account number or queue name not found in lookup Sheet*")/COUNTIF('Raw Data'!$I:$I,Metrics!$B31),"")</f>
        <v/>
      </c>
      <c r="G31" s="4" t="str">
        <f>IFERROR((COUNTIFS('Raw Data'!$I:$I, Metrics!$B31,'Raw Data'!$D:$D, "*OEC SR Customer Care Rep already updated*")/COUNTIF('Raw Data'!$I:$I, Metrics!$B31)),"")</f>
        <v/>
      </c>
      <c r="K31" s="4" t="str">
        <f>IFERROR((COUNTIFS('Raw Data'!$I:$I, Metrics!$B31,'Raw Data'!$D:$D, "SR Status is already updated")/COUNTIF('Raw Data'!$I:$I, Metrics!$B31)),"")</f>
        <v/>
      </c>
      <c r="L31" s="4" t="str">
        <f>IFERROR((COUNTIFS('Raw Data'!$I:$I, Metrics!$B31,'Raw Data'!$D:$D, "*SR Failed to Update*")/COUNTIF('Raw Data'!$I:$I, Metrics!$B31)),"")</f>
        <v/>
      </c>
    </row>
    <row r="32" spans="1:12" x14ac:dyDescent="0.35">
      <c r="D32" s="4" t="str">
        <f>IFERROR(COUNTIFS('Raw Data'!$I:$I,Metrics!$B32,'Raw Data'!$D:$D,"*Lookup table queue not found in OEC*")/COUNTIF('Raw Data'!$I:$I,Metrics!$B32),"")</f>
        <v/>
      </c>
      <c r="E32" s="4" t="str">
        <f>IFERROR(COUNTIFS('Raw Data'!$I:$I,Metrics!$B32,'Raw Data'!$D:$D,"*OEC Account number is blank*")/COUNTIF('Raw Data'!$I:$I,Metrics!$B32),"")</f>
        <v/>
      </c>
      <c r="F32" s="4" t="str">
        <f>IFERROR(COUNTIFS('Raw Data'!$I:$I,Metrics!$B32,'Raw Data'!$D:$D,"*Account number or queue name not found in lookup Sheet*")/COUNTIF('Raw Data'!$I:$I,Metrics!$B32),"")</f>
        <v/>
      </c>
      <c r="G32" s="4" t="str">
        <f>IFERROR((COUNTIFS('Raw Data'!$I:$I, Metrics!$B32,'Raw Data'!$D:$D, "*OEC SR Customer Care Rep already updated*")/COUNTIF('Raw Data'!$I:$I, Metrics!$B32)),"")</f>
        <v/>
      </c>
      <c r="K32" s="4" t="str">
        <f>IFERROR((COUNTIFS('Raw Data'!$I:$I, Metrics!$B32,'Raw Data'!$D:$D, "SR Status is already updated")/COUNTIF('Raw Data'!$I:$I, Metrics!$B32)),"")</f>
        <v/>
      </c>
      <c r="L32" s="4" t="str">
        <f>IFERROR((COUNTIFS('Raw Data'!$I:$I, Metrics!$B32,'Raw Data'!$D:$D, "*SR Failed to Update*")/COUNTIF('Raw Data'!$I:$I, Metrics!$B32)),"")</f>
        <v/>
      </c>
    </row>
    <row r="33" spans="4:12" x14ac:dyDescent="0.35">
      <c r="D33" s="4" t="str">
        <f>IFERROR(COUNTIFS('Raw Data'!$I:$I,Metrics!$B33,'Raw Data'!$D:$D,"*Lookup table queue not found in OEC*")/COUNTIF('Raw Data'!$I:$I,Metrics!$B33),"")</f>
        <v/>
      </c>
      <c r="E33" s="4" t="str">
        <f>IFERROR(COUNTIFS('Raw Data'!$I:$I,Metrics!$B33,'Raw Data'!$D:$D,"*OEC Account number is blank*")/COUNTIF('Raw Data'!$I:$I,Metrics!$B33),"")</f>
        <v/>
      </c>
      <c r="F33" s="4" t="str">
        <f>IFERROR(COUNTIFS('Raw Data'!$I:$I,Metrics!$B33,'Raw Data'!$D:$D,"*Account number or queue name not found in lookup Sheet*")/COUNTIF('Raw Data'!$I:$I,Metrics!$B33),"")</f>
        <v/>
      </c>
      <c r="G33" s="4" t="str">
        <f>IFERROR((COUNTIFS('Raw Data'!$I:$I, Metrics!$B33,'Raw Data'!$D:$D, "*OEC SR Customer Care Rep already updated*")/COUNTIF('Raw Data'!$I:$I, Metrics!$B33)),"")</f>
        <v/>
      </c>
      <c r="K33" s="4" t="str">
        <f>IFERROR((COUNTIFS('Raw Data'!$I:$I, Metrics!$B33,'Raw Data'!$D:$D, "SR Status is already updated")/COUNTIF('Raw Data'!$I:$I, Metrics!$B33)),"")</f>
        <v/>
      </c>
      <c r="L33" s="4" t="str">
        <f>IFERROR((COUNTIFS('Raw Data'!$I:$I, Metrics!$B33,'Raw Data'!$D:$D, "*SR Failed to Update*")/COUNTIF('Raw Data'!$I:$I, Metrics!$B33)),"")</f>
        <v/>
      </c>
    </row>
    <row r="34" spans="4:12" x14ac:dyDescent="0.35">
      <c r="D34" s="4" t="str">
        <f>IFERROR(COUNTIFS('Raw Data'!$I:$I,Metrics!$B34,'Raw Data'!$D:$D,"*Lookup table queue not found in OEC*")/COUNTIF('Raw Data'!$I:$I,Metrics!$B34),"")</f>
        <v/>
      </c>
      <c r="E34" s="4" t="str">
        <f>IFERROR(COUNTIFS('Raw Data'!$I:$I,Metrics!$B34,'Raw Data'!$D:$D,"*OEC Account number is blank*")/COUNTIF('Raw Data'!$I:$I,Metrics!$B34),"")</f>
        <v/>
      </c>
      <c r="F34" s="4" t="str">
        <f>IFERROR(COUNTIFS('Raw Data'!$I:$I,Metrics!$B34,'Raw Data'!$D:$D,"*Account number or queue name not found in lookup Sheet*")/COUNTIF('Raw Data'!$I:$I,Metrics!$B34),"")</f>
        <v/>
      </c>
      <c r="G34" s="4" t="str">
        <f>IFERROR((COUNTIFS('Raw Data'!$I:$I, Metrics!$B34,'Raw Data'!$D:$D, "*OEC SR Customer Care Rep already updated*")/COUNTIF('Raw Data'!$I:$I, Metrics!$B34)),"")</f>
        <v/>
      </c>
      <c r="K34" s="4" t="str">
        <f>IFERROR((COUNTIFS('Raw Data'!$I:$I, Metrics!$B34,'Raw Data'!$D:$D, "SR Status is already updated")/COUNTIF('Raw Data'!$I:$I, Metrics!$B34)),"")</f>
        <v/>
      </c>
      <c r="L34" s="4" t="str">
        <f>IFERROR((COUNTIFS('Raw Data'!$I:$I, Metrics!$B34,'Raw Data'!$D:$D, "*SR Failed to Update*")/COUNTIF('Raw Data'!$I:$I, Metrics!$B34)),"")</f>
        <v/>
      </c>
    </row>
    <row r="35" spans="4:12" x14ac:dyDescent="0.35">
      <c r="D35" s="4" t="str">
        <f>IFERROR(COUNTIFS('Raw Data'!$I:$I,Metrics!$B35,'Raw Data'!$D:$D,"*Lookup table queue not found in OEC*")/COUNTIF('Raw Data'!$I:$I,Metrics!$B35),"")</f>
        <v/>
      </c>
      <c r="E35" s="4" t="str">
        <f>IFERROR(COUNTIFS('Raw Data'!$I:$I,Metrics!$B35,'Raw Data'!$D:$D,"*OEC Account number is blank*")/COUNTIF('Raw Data'!$I:$I,Metrics!$B35),"")</f>
        <v/>
      </c>
      <c r="F35" s="4" t="str">
        <f>IFERROR(COUNTIFS('Raw Data'!$I:$I,Metrics!$B35,'Raw Data'!$D:$D,"*Account number or queue name not found in lookup Sheet*")/COUNTIF('Raw Data'!$I:$I,Metrics!$B35),"")</f>
        <v/>
      </c>
      <c r="G35" s="4" t="str">
        <f>IFERROR((COUNTIFS('Raw Data'!$I:$I, Metrics!$B35,'Raw Data'!$D:$D, "*OEC SR Customer Care Rep already updated*")/COUNTIF('Raw Data'!$I:$I, Metrics!$B35)),"")</f>
        <v/>
      </c>
      <c r="K35" s="4" t="str">
        <f>IFERROR((COUNTIFS('Raw Data'!$I:$I, Metrics!$B35,'Raw Data'!$D:$D, "SR Status is already updated")/COUNTIF('Raw Data'!$I:$I, Metrics!$B35)),"")</f>
        <v/>
      </c>
      <c r="L35" s="4" t="str">
        <f>IFERROR((COUNTIFS('Raw Data'!$I:$I, Metrics!$B35,'Raw Data'!$D:$D, "*SR Failed to Update*")/COUNTIF('Raw Data'!$I:$I, Metrics!$B35)),"")</f>
        <v/>
      </c>
    </row>
    <row r="36" spans="4:12" x14ac:dyDescent="0.35">
      <c r="D36" s="4" t="str">
        <f>IFERROR(COUNTIFS('Raw Data'!$I:$I,Metrics!$B36,'Raw Data'!$D:$D,"*Lookup table queue not found in OEC*")/COUNTIF('Raw Data'!$I:$I,Metrics!$B36),"")</f>
        <v/>
      </c>
      <c r="E36" s="4" t="str">
        <f>IFERROR(COUNTIFS('Raw Data'!$I:$I,Metrics!$B36,'Raw Data'!$D:$D,"*OEC Account number is blank*")/COUNTIF('Raw Data'!$I:$I,Metrics!$B36),"")</f>
        <v/>
      </c>
      <c r="F36" s="4" t="str">
        <f>IFERROR(COUNTIFS('Raw Data'!$I:$I,Metrics!$B36,'Raw Data'!$D:$D,"*Account number or queue name not found in lookup Sheet*")/COUNTIF('Raw Data'!$I:$I,Metrics!$B36),"")</f>
        <v/>
      </c>
      <c r="G36" s="4" t="str">
        <f>IFERROR((COUNTIFS('Raw Data'!$I:$I, Metrics!$B36,'Raw Data'!$D:$D, "*OEC SR Customer Care Rep already updated*")/COUNTIF('Raw Data'!$I:$I, Metrics!$B36)),"")</f>
        <v/>
      </c>
      <c r="K36" s="4" t="str">
        <f>IFERROR((COUNTIFS('Raw Data'!$I:$I, Metrics!$B36,'Raw Data'!$D:$D, "SR Status is already updated")/COUNTIF('Raw Data'!$I:$I, Metrics!$B36)),"")</f>
        <v/>
      </c>
      <c r="L36" s="4" t="str">
        <f>IFERROR((COUNTIFS('Raw Data'!$I:$I, Metrics!$B36,'Raw Data'!$D:$D, "*SR Failed to Update*")/COUNTIF('Raw Data'!$I:$I, Metrics!$B36)),"")</f>
        <v/>
      </c>
    </row>
    <row r="37" spans="4:12" x14ac:dyDescent="0.35">
      <c r="D37" s="4" t="str">
        <f>IFERROR(COUNTIFS('Raw Data'!$I:$I,Metrics!$B37,'Raw Data'!$D:$D,"*Lookup table queue not found in OEC*")/COUNTIF('Raw Data'!$I:$I,Metrics!$B37),"")</f>
        <v/>
      </c>
      <c r="E37" s="4" t="str">
        <f>IFERROR(COUNTIFS('Raw Data'!$I:$I,Metrics!$B37,'Raw Data'!$D:$D,"*OEC Account number is blank*")/COUNTIF('Raw Data'!$I:$I,Metrics!$B37),"")</f>
        <v/>
      </c>
      <c r="F37" s="4" t="str">
        <f>IFERROR(COUNTIFS('Raw Data'!$I:$I,Metrics!$B37,'Raw Data'!$D:$D,"*Account number or queue name not found in lookup Sheet*")/COUNTIF('Raw Data'!$I:$I,Metrics!$B37),"")</f>
        <v/>
      </c>
      <c r="G37" s="4" t="str">
        <f>IFERROR((COUNTIFS('Raw Data'!$I:$I, Metrics!$B37,'Raw Data'!$D:$D, "*OEC SR Customer Care Rep already updated*")/COUNTIF('Raw Data'!$I:$I, Metrics!$B37)),"")</f>
        <v/>
      </c>
      <c r="K37" s="4" t="str">
        <f>IFERROR((COUNTIFS('Raw Data'!$I:$I, Metrics!$B37,'Raw Data'!$D:$D, "SR Status is already updated")/COUNTIF('Raw Data'!$I:$I, Metrics!$B37)),"")</f>
        <v/>
      </c>
      <c r="L37" s="4" t="str">
        <f>IFERROR((COUNTIFS('Raw Data'!$I:$I, Metrics!$B37,'Raw Data'!$D:$D, "*SR Failed to Update*")/COUNTIF('Raw Data'!$I:$I, Metrics!$B37)),"")</f>
        <v/>
      </c>
    </row>
    <row r="38" spans="4:12" x14ac:dyDescent="0.35">
      <c r="D38" s="4" t="str">
        <f>IFERROR(COUNTIFS('Raw Data'!$I:$I,Metrics!$B38,'Raw Data'!$D:$D,"*Lookup table queue not found in OEC*")/COUNTIF('Raw Data'!$I:$I,Metrics!$B38),"")</f>
        <v/>
      </c>
      <c r="E38" s="4" t="str">
        <f>IFERROR(COUNTIFS('Raw Data'!$I:$I,Metrics!$B38,'Raw Data'!$D:$D,"*OEC Account number is blank*")/COUNTIF('Raw Data'!$I:$I,Metrics!$B38),"")</f>
        <v/>
      </c>
      <c r="F38" s="4" t="str">
        <f>IFERROR(COUNTIFS('Raw Data'!$I:$I,Metrics!$B38,'Raw Data'!$D:$D,"*Account number or queue name not found in lookup Sheet*")/COUNTIF('Raw Data'!$I:$I,Metrics!$B38),"")</f>
        <v/>
      </c>
      <c r="G38" s="4" t="str">
        <f>IFERROR((COUNTIFS('Raw Data'!$I:$I, Metrics!$B38,'Raw Data'!$D:$D, "*OEC SR Customer Care Rep already updated*")/COUNTIF('Raw Data'!$I:$I, Metrics!$B38)),"")</f>
        <v/>
      </c>
      <c r="K38" s="4" t="str">
        <f>IFERROR((COUNTIFS('Raw Data'!$I:$I, Metrics!$B38,'Raw Data'!$D:$D, "SR Status is already updated")/COUNTIF('Raw Data'!$I:$I, Metrics!$B38)),"")</f>
        <v/>
      </c>
      <c r="L38" s="4" t="str">
        <f>IFERROR((COUNTIFS('Raw Data'!$I:$I, Metrics!$B38,'Raw Data'!$D:$D, "*SR Failed to Update*")/COUNTIF('Raw Data'!$I:$I, Metrics!$B38)),"")</f>
        <v/>
      </c>
    </row>
    <row r="39" spans="4:12" x14ac:dyDescent="0.35">
      <c r="D39" s="4" t="str">
        <f>IFERROR(COUNTIFS('Raw Data'!$I:$I,Metrics!$B39,'Raw Data'!$D:$D,"*Lookup table queue not found in OEC*")/COUNTIF('Raw Data'!$I:$I,Metrics!$B39),"")</f>
        <v/>
      </c>
      <c r="E39" s="4" t="str">
        <f>IFERROR(COUNTIFS('Raw Data'!$I:$I,Metrics!$B39,'Raw Data'!$D:$D,"*OEC Account number is blank*")/COUNTIF('Raw Data'!$I:$I,Metrics!$B39),"")</f>
        <v/>
      </c>
      <c r="F39" s="4" t="str">
        <f>IFERROR(COUNTIFS('Raw Data'!$I:$I,Metrics!$B39,'Raw Data'!$D:$D,"*Account number or queue name not found in lookup Sheet*")/COUNTIF('Raw Data'!$I:$I,Metrics!$B39),"")</f>
        <v/>
      </c>
      <c r="G39" s="4" t="str">
        <f>IFERROR((COUNTIFS('Raw Data'!$I:$I, Metrics!$B39,'Raw Data'!$D:$D, "*OEC SR Customer Care Rep already updated*")/COUNTIF('Raw Data'!$I:$I, Metrics!$B39)),"")</f>
        <v/>
      </c>
      <c r="K39" s="4" t="str">
        <f>IFERROR((COUNTIFS('Raw Data'!$I:$I, Metrics!$B39,'Raw Data'!$D:$D, "SR Status is already updated")/COUNTIF('Raw Data'!$I:$I, Metrics!$B39)),"")</f>
        <v/>
      </c>
      <c r="L39" s="4" t="str">
        <f>IFERROR((COUNTIFS('Raw Data'!$I:$I, Metrics!$B39,'Raw Data'!$D:$D, "*SR Failed to Update*")/COUNTIF('Raw Data'!$I:$I, Metrics!$B39)),"")</f>
        <v/>
      </c>
    </row>
    <row r="40" spans="4:12" x14ac:dyDescent="0.35">
      <c r="D40" s="4" t="str">
        <f>IFERROR(COUNTIFS('Raw Data'!$I:$I,Metrics!$B40,'Raw Data'!$D:$D,"*Lookup table queue not found in OEC*")/COUNTIF('Raw Data'!$I:$I,Metrics!$B40),"")</f>
        <v/>
      </c>
      <c r="E40" s="4"/>
      <c r="F40" s="4" t="str">
        <f>IFERROR(COUNTIFS('Raw Data'!$I:$I,Metrics!$B40,'Raw Data'!$D:$D,"*Account number or queue name not found in lookup Sheet*")/COUNTIF('Raw Data'!$I:$I,Metrics!$B40),"")</f>
        <v/>
      </c>
      <c r="G40" s="4" t="str">
        <f>IFERROR((COUNTIFS('Raw Data'!$I:$I, Metrics!$B40,'Raw Data'!$D:$D, "*OEC SR Customer Care Rep already updated*")/COUNTIF('Raw Data'!$I:$I, Metrics!$B40)),"")</f>
        <v/>
      </c>
      <c r="K40" s="4" t="str">
        <f>IFERROR((COUNTIFS('Raw Data'!$I:$I, Metrics!$B40,'Raw Data'!$D:$D, "SR Status is already updated")/COUNTIF('Raw Data'!$I:$I, Metrics!$B40)),"")</f>
        <v/>
      </c>
      <c r="L40" s="4" t="str">
        <f>IFERROR((COUNTIFS('Raw Data'!$I:$I, Metrics!$B40,'Raw Data'!$D:$D, "*SR Failed to Update*")/COUNTIF('Raw Data'!$I:$I, Metrics!$B40)),"")</f>
        <v/>
      </c>
    </row>
    <row r="41" spans="4:12" x14ac:dyDescent="0.35">
      <c r="D41" s="4" t="str">
        <f>IFERROR(COUNTIFS('Raw Data'!$I:$I,Metrics!$B41,'Raw Data'!$D:$D,"*Account number or queue name not found in lookup Sheet*")/COUNTIF('Raw Data'!$I:$I,Metrics!$B41),"")</f>
        <v/>
      </c>
      <c r="E41" s="4"/>
      <c r="F41" s="4" t="str">
        <f>IFERROR(COUNTIFS('Raw Data'!$I:$I,Metrics!$B41,'Raw Data'!$D:$D,"*Account number or queue name not found in lookup Sheet*")/COUNTIF('Raw Data'!$I:$I,Metrics!$B41),"")</f>
        <v/>
      </c>
      <c r="G41" s="4" t="str">
        <f>IFERROR((COUNTIFS('Raw Data'!$I:$I, Metrics!$B41,'Raw Data'!$D:$D, "*OEC SR Customer Care Rep already updated*")/COUNTIF('Raw Data'!$I:$I, Metrics!$B41)),"")</f>
        <v/>
      </c>
      <c r="K41" s="4" t="str">
        <f>IFERROR((COUNTIFS('Raw Data'!$I:$I, Metrics!$B41,'Raw Data'!$D:$D, "SR Status is already updated")/COUNTIF('Raw Data'!$I:$I, Metrics!$B41)),"")</f>
        <v/>
      </c>
      <c r="L41" s="4" t="str">
        <f>IFERROR((COUNTIFS('Raw Data'!$I:$I, Metrics!$B41,'Raw Data'!$D:$D, "*SR Failed to Update*")/COUNTIF('Raw Data'!$I:$I, Metrics!$B41)),"")</f>
        <v/>
      </c>
    </row>
    <row r="42" spans="4:12" x14ac:dyDescent="0.35">
      <c r="D42" s="4" t="str">
        <f>IFERROR(COUNTIFS('Raw Data'!$I:$I,Metrics!$B42,'Raw Data'!$D:$D,"*Account number or queue name not found in lookup Sheet*")/COUNTIF('Raw Data'!$I:$I,Metrics!$B42),"")</f>
        <v/>
      </c>
      <c r="E42" s="4"/>
      <c r="F42" s="4" t="str">
        <f>IFERROR(COUNTIFS('Raw Data'!$I:$I,Metrics!$B42,'Raw Data'!$D:$D,"*Account number or queue name not found in lookup Sheet*")/COUNTIF('Raw Data'!$I:$I,Metrics!$B42),"")</f>
        <v/>
      </c>
      <c r="G42" s="4" t="str">
        <f>IFERROR((COUNTIFS('Raw Data'!$I:$I, Metrics!$B42,'Raw Data'!$D:$D, "*OEC SR Customer Care Rep already updated*")/COUNTIF('Raw Data'!$I:$I, Metrics!$B42)),"")</f>
        <v/>
      </c>
      <c r="K42" s="4" t="str">
        <f>IFERROR((COUNTIFS('Raw Data'!$I:$I, Metrics!$B42,'Raw Data'!$D:$D, "SR Status is already updated")/COUNTIF('Raw Data'!$I:$I, Metrics!$B42)),"")</f>
        <v/>
      </c>
      <c r="L42" s="4" t="str">
        <f>IFERROR((COUNTIFS('Raw Data'!$I:$I, Metrics!$B42,'Raw Data'!$D:$D, "*SR Failed to Update*")/COUNTIF('Raw Data'!$I:$I, Metrics!$B42)),"")</f>
        <v/>
      </c>
    </row>
    <row r="43" spans="4:12" x14ac:dyDescent="0.35">
      <c r="D43" s="4" t="str">
        <f>IFERROR(COUNTIFS('Raw Data'!$I:$I,Metrics!$B43,'Raw Data'!$D:$D,"*Account number or queue name not found in lookup Sheet*")/COUNTIF('Raw Data'!$I:$I,Metrics!$B43),"")</f>
        <v/>
      </c>
      <c r="E43" s="4"/>
      <c r="F43" s="4" t="str">
        <f>IFERROR(COUNTIFS('Raw Data'!$I:$I,Metrics!$B43,'Raw Data'!$D:$D,"*Account number or queue name not found in lookup Sheet*")/COUNTIF('Raw Data'!$I:$I,Metrics!$B43),"")</f>
        <v/>
      </c>
      <c r="G43" s="4" t="str">
        <f>IFERROR((COUNTIFS('Raw Data'!$I:$I, Metrics!$B43,'Raw Data'!$D:$D, "*OEC SR Customer Care Rep already updated*")/COUNTIF('Raw Data'!$I:$I, Metrics!$B43)),"")</f>
        <v/>
      </c>
      <c r="K43" s="4" t="str">
        <f>IFERROR((COUNTIFS('Raw Data'!$I:$I, Metrics!$B43,'Raw Data'!$D:$D, "SR Status is already updated")/COUNTIF('Raw Data'!$I:$I, Metrics!$B43)),"")</f>
        <v/>
      </c>
      <c r="L43" s="4" t="str">
        <f>IFERROR((COUNTIFS('Raw Data'!$I:$I, Metrics!$B43,'Raw Data'!$D:$D, "*SR Failed to Update*")/COUNTIF('Raw Data'!$I:$I, Metrics!$B43)),"")</f>
        <v/>
      </c>
    </row>
    <row r="44" spans="4:12" x14ac:dyDescent="0.35">
      <c r="D44" s="4" t="str">
        <f>IFERROR(COUNTIFS('Raw Data'!$I:$I,Metrics!$B44,'Raw Data'!$D:$D,"*Account number or queue name not found in lookup Sheet*")/COUNTIF('Raw Data'!$I:$I,Metrics!$B44),"")</f>
        <v/>
      </c>
      <c r="E44" s="4"/>
      <c r="F44" s="4" t="str">
        <f>IFERROR(COUNTIFS('Raw Data'!$I:$I,Metrics!$B44,'Raw Data'!$D:$D,"*Account number or queue name not found in lookup Sheet*")/COUNTIF('Raw Data'!$I:$I,Metrics!$B44),"")</f>
        <v/>
      </c>
      <c r="G44" s="4" t="str">
        <f>IFERROR((COUNTIFS('Raw Data'!$I:$I, Metrics!$B44,'Raw Data'!$D:$D, "*OEC SR Customer Care Rep already updated*")/COUNTIF('Raw Data'!$I:$I, Metrics!$B44)),"")</f>
        <v/>
      </c>
      <c r="K44" s="4" t="str">
        <f>IFERROR((COUNTIFS('Raw Data'!$I:$I, Metrics!$B44,'Raw Data'!$D:$D, "SR Status is already updated")/COUNTIF('Raw Data'!$I:$I, Metrics!$B44)),"")</f>
        <v/>
      </c>
      <c r="L44" s="4" t="str">
        <f>IFERROR((COUNTIFS('Raw Data'!$I:$I, Metrics!$B44,'Raw Data'!$D:$D, "*SR Failed to Update*")/COUNTIF('Raw Data'!$I:$I, Metrics!$B44)),"")</f>
        <v/>
      </c>
    </row>
    <row r="45" spans="4:12" x14ac:dyDescent="0.35">
      <c r="D45" s="4" t="str">
        <f>IFERROR(COUNTIFS('Raw Data'!$I:$I,Metrics!$B45,'Raw Data'!$D:$D,"*Account number or queue name not found in lookup Sheet*")/COUNTIF('Raw Data'!$I:$I,Metrics!$B45),"")</f>
        <v/>
      </c>
      <c r="E45" s="4"/>
      <c r="F45" s="4" t="str">
        <f>IFERROR(COUNTIFS('Raw Data'!$I:$I,Metrics!$B45,'Raw Data'!$D:$D,"*Account number or queue name not found in lookup Sheet*")/COUNTIF('Raw Data'!$I:$I,Metrics!$B45),"")</f>
        <v/>
      </c>
      <c r="G45" s="4" t="str">
        <f>IFERROR((COUNTIFS('Raw Data'!$I:$I, Metrics!$B45,'Raw Data'!$D:$D, "*OEC SR Customer Care Rep already updated*")/COUNTIF('Raw Data'!$I:$I, Metrics!$B45)),"")</f>
        <v/>
      </c>
      <c r="K45" s="4" t="str">
        <f>IFERROR((COUNTIFS('Raw Data'!$I:$I, Metrics!$B45,'Raw Data'!$D:$D, "SR Status is already updated")/COUNTIF('Raw Data'!$I:$I, Metrics!$B45)),"")</f>
        <v/>
      </c>
      <c r="L45" s="4" t="str">
        <f>IFERROR((COUNTIFS('Raw Data'!$I:$I, Metrics!$B45,'Raw Data'!$D:$D, "*SR Failed to Update*")/COUNTIF('Raw Data'!$I:$I, Metrics!$B45)),"")</f>
        <v/>
      </c>
    </row>
    <row r="46" spans="4:12" x14ac:dyDescent="0.35">
      <c r="D46" s="4" t="str">
        <f>IFERROR(COUNTIFS('Raw Data'!$I:$I,Metrics!$B46,'Raw Data'!$D:$D,"*Account number or queue name not found in lookup Sheet*")/COUNTIF('Raw Data'!$I:$I,Metrics!$B46),"")</f>
        <v/>
      </c>
      <c r="E46" s="4"/>
      <c r="F46" s="4" t="str">
        <f>IFERROR(COUNTIFS('Raw Data'!$I:$I,Metrics!$B46,'Raw Data'!$D:$D,"*Account number or queue name not found in lookup Sheet*")/COUNTIF('Raw Data'!$I:$I,Metrics!$B46),"")</f>
        <v/>
      </c>
      <c r="G46" s="4"/>
      <c r="K46" s="4" t="str">
        <f>IFERROR((COUNTIFS('Raw Data'!$I:$I, Metrics!$B46,'Raw Data'!$D:$D, "SR Status is already updated")/COUNTIF('Raw Data'!$I:$I, Metrics!$B46)),"")</f>
        <v/>
      </c>
      <c r="L46" s="4" t="str">
        <f>IFERROR((COUNTIFS('Raw Data'!$I:$I, Metrics!$B46,'Raw Data'!$D:$D, "*SR Failed to Update*")/COUNTIF('Raw Data'!$I:$I, Metrics!$B46)),"")</f>
        <v/>
      </c>
    </row>
    <row r="47" spans="4:12" x14ac:dyDescent="0.35">
      <c r="D47" s="4" t="str">
        <f>IFERROR(COUNTIFS('Raw Data'!$I:$I,Metrics!$B47,'Raw Data'!$D:$D,"*Account number or queue name not found in lookup Sheet*")/COUNTIF('Raw Data'!$I:$I,Metrics!$B47),"")</f>
        <v/>
      </c>
      <c r="E47" s="4"/>
      <c r="F47" s="4" t="str">
        <f>IFERROR(COUNTIFS('Raw Data'!$I:$I,Metrics!$B47,'Raw Data'!$D:$D,"*Account number or queue name not found in lookup Sheet*")/COUNTIF('Raw Data'!$I:$I,Metrics!$B47),"")</f>
        <v/>
      </c>
      <c r="G47" s="4"/>
      <c r="K47" s="4" t="str">
        <f>IFERROR((COUNTIFS('Raw Data'!$I:$I, Metrics!$B47,'Raw Data'!$D:$D, "SR Status is already updated")/COUNTIF('Raw Data'!$I:$I, Metrics!$B47)),"")</f>
        <v/>
      </c>
      <c r="L47" s="4" t="str">
        <f>IFERROR((COUNTIFS('Raw Data'!$I:$I, Metrics!$B47,'Raw Data'!$D:$D, "*SR Failed to Update*")/COUNTIF('Raw Data'!$I:$I, Metrics!$B47)),"")</f>
        <v/>
      </c>
    </row>
    <row r="48" spans="4:12" x14ac:dyDescent="0.35">
      <c r="D48" s="4" t="str">
        <f>IFERROR(COUNTIFS('Raw Data'!$I:$I,Metrics!$B48,'Raw Data'!$D:$D,"*Account number or queue name not found in lookup Sheet*")/COUNTIF('Raw Data'!$I:$I,Metrics!$B48),"")</f>
        <v/>
      </c>
      <c r="E48" s="4"/>
      <c r="F48" s="4" t="str">
        <f>IFERROR(COUNTIFS('Raw Data'!$I:$I,Metrics!$B48,'Raw Data'!$D:$D,"*Account number or queue name not found in lookup Sheet*")/COUNTIF('Raw Data'!$I:$I,Metrics!$B48),"")</f>
        <v/>
      </c>
      <c r="G48" s="4"/>
      <c r="K48" s="4" t="str">
        <f>IFERROR((COUNTIFS('Raw Data'!$I:$I, Metrics!$B48,'Raw Data'!$D:$D, "SR Status is already updated")/COUNTIF('Raw Data'!$I:$I, Metrics!$B48)),"")</f>
        <v/>
      </c>
      <c r="L48" s="4" t="str">
        <f>IFERROR((COUNTIFS('Raw Data'!$I:$I, Metrics!$B48,'Raw Data'!$D:$D, "*SR Failed to Update*")/COUNTIF('Raw Data'!$I:$I, Metrics!$B48)),"")</f>
        <v/>
      </c>
    </row>
    <row r="49" spans="4:12" x14ac:dyDescent="0.35">
      <c r="D49" s="4" t="str">
        <f>IFERROR(COUNTIFS('Raw Data'!$I:$I,Metrics!$B49,'Raw Data'!$D:$D,"*Account number or queue name not found in lookup Sheet*")/COUNTIF('Raw Data'!$I:$I,Metrics!$B49),"")</f>
        <v/>
      </c>
      <c r="E49" s="4"/>
      <c r="F49" s="4" t="str">
        <f>IFERROR(COUNTIFS('Raw Data'!$I:$I,Metrics!$B49,'Raw Data'!$D:$D,"*Account number or queue name not found in lookup Sheet*")/COUNTIF('Raw Data'!$I:$I,Metrics!$B49),"")</f>
        <v/>
      </c>
      <c r="G49" s="4"/>
      <c r="K49" s="4" t="str">
        <f>IFERROR((COUNTIFS('Raw Data'!$I:$I, Metrics!$B49,'Raw Data'!$D:$D, "SR Status is already updated")/COUNTIF('Raw Data'!$I:$I, Metrics!$B49)),"")</f>
        <v/>
      </c>
      <c r="L49" s="4" t="str">
        <f>IFERROR((COUNTIFS('Raw Data'!$I:$I, Metrics!$B49,'Raw Data'!$D:$D, "*SR Failed to Update*")/COUNTIF('Raw Data'!$I:$I, Metrics!$B49)),"")</f>
        <v/>
      </c>
    </row>
    <row r="50" spans="4:12" x14ac:dyDescent="0.35">
      <c r="D50" s="4" t="str">
        <f>IFERROR(COUNTIFS('Raw Data'!$I:$I,Metrics!$B50,'Raw Data'!$D:$D,"*Account number or queue name not found in lookup Sheet*")/COUNTIF('Raw Data'!$I:$I,Metrics!$B50),"")</f>
        <v/>
      </c>
      <c r="E50" s="4"/>
      <c r="F50" s="4" t="str">
        <f>IFERROR(COUNTIFS('Raw Data'!$I:$I,Metrics!$B50,'Raw Data'!$D:$D,"*Account number or queue name not found in lookup Sheet*")/COUNTIF('Raw Data'!$I:$I,Metrics!$B50),"")</f>
        <v/>
      </c>
      <c r="G50" s="4"/>
      <c r="K50" s="4" t="str">
        <f>IFERROR((COUNTIFS('Raw Data'!$I:$I, Metrics!$B50,'Raw Data'!$D:$D, "SR Status is already updated")/COUNTIF('Raw Data'!$I:$I, Metrics!$B50)),"")</f>
        <v/>
      </c>
      <c r="L50" s="4" t="str">
        <f>IFERROR((COUNTIFS('Raw Data'!$I:$I, Metrics!$B50,'Raw Data'!$D:$D, "*SR Failed to Update*")/COUNTIF('Raw Data'!$I:$I, Metrics!$B50)),"")</f>
        <v/>
      </c>
    </row>
    <row r="51" spans="4:12" x14ac:dyDescent="0.35">
      <c r="D51" s="4" t="str">
        <f>IFERROR(COUNTIFS('Raw Data'!$I:$I,Metrics!$B51,'Raw Data'!$D:$D,"*Account number or queue name not found in lookup Sheet*")/COUNTIF('Raw Data'!$I:$I,Metrics!$B51),"")</f>
        <v/>
      </c>
      <c r="E51" s="4"/>
      <c r="F51" s="4" t="str">
        <f>IFERROR(COUNTIFS('Raw Data'!$I:$I,Metrics!$B51,'Raw Data'!$D:$D,"*Account number or queue name not found in lookup Sheet*")/COUNTIF('Raw Data'!$I:$I,Metrics!$B51),"")</f>
        <v/>
      </c>
      <c r="G51" s="4"/>
      <c r="K51" s="4" t="str">
        <f>IFERROR((COUNTIFS('Raw Data'!$I:$I, Metrics!$B51,'Raw Data'!$D:$D, "SR Status is already updated")/COUNTIF('Raw Data'!$I:$I, Metrics!$B51)),"")</f>
        <v/>
      </c>
      <c r="L51" s="4" t="str">
        <f>IFERROR((COUNTIFS('Raw Data'!$I:$I, Metrics!$B51,'Raw Data'!$D:$D, "*SR Failed to Update*")/COUNTIF('Raw Data'!$I:$I, Metrics!$B51)),"")</f>
        <v/>
      </c>
    </row>
    <row r="52" spans="4:12" x14ac:dyDescent="0.35">
      <c r="D52" s="4" t="str">
        <f>IFERROR(COUNTIFS('Raw Data'!$I:$I,Metrics!$B52,'Raw Data'!$D:$D,"*Account number or queue name not found in lookup Sheet*")/COUNTIF('Raw Data'!$I:$I,Metrics!$B52),"")</f>
        <v/>
      </c>
      <c r="E52" s="4"/>
      <c r="F52" s="4" t="str">
        <f>IFERROR(COUNTIFS('Raw Data'!$I:$I,Metrics!$B52,'Raw Data'!$D:$D,"*Account number or queue name not found in lookup Sheet*")/COUNTIF('Raw Data'!$I:$I,Metrics!$B52),"")</f>
        <v/>
      </c>
      <c r="G52" s="4"/>
      <c r="K52" s="4" t="str">
        <f>IFERROR((COUNTIFS('Raw Data'!$I:$I, Metrics!$B52,'Raw Data'!$D:$D, "SR Status is already updated")/COUNTIF('Raw Data'!$I:$I, Metrics!$B52)),"")</f>
        <v/>
      </c>
      <c r="L52" s="4" t="str">
        <f>IFERROR((COUNTIFS('Raw Data'!$I:$I, Metrics!$B52,'Raw Data'!$D:$D, "*SR Failed to Update*")/COUNTIF('Raw Data'!$I:$I, Metrics!$B52)),"")</f>
        <v/>
      </c>
    </row>
    <row r="53" spans="4:12" x14ac:dyDescent="0.35">
      <c r="D53" s="4" t="str">
        <f>IFERROR(COUNTIFS('Raw Data'!$I:$I,Metrics!$B53,'Raw Data'!$D:$D,"*Account number or queue name not found in lookup Sheet*")/COUNTIF('Raw Data'!$I:$I,Metrics!$B53),"")</f>
        <v/>
      </c>
      <c r="E53" s="4"/>
      <c r="F53" s="4" t="str">
        <f>IFERROR(COUNTIFS('Raw Data'!$I:$I,Metrics!$B53,'Raw Data'!$D:$D,"*Account number or queue name not found in lookup Sheet*")/COUNTIF('Raw Data'!$I:$I,Metrics!$B53),"")</f>
        <v/>
      </c>
      <c r="G53" s="4"/>
      <c r="K53" s="4" t="str">
        <f>IFERROR((COUNTIFS('Raw Data'!$I:$I, Metrics!$B53,'Raw Data'!$D:$D, "SR Status is already updated")/COUNTIF('Raw Data'!$I:$I, Metrics!$B53)),"")</f>
        <v/>
      </c>
      <c r="L53" s="4" t="str">
        <f>IFERROR((COUNTIFS('Raw Data'!$I:$I, Metrics!$B53,'Raw Data'!$D:$D, "*SR Failed to Update*")/COUNTIF('Raw Data'!$I:$I, Metrics!$B53)),"")</f>
        <v/>
      </c>
    </row>
    <row r="54" spans="4:12" x14ac:dyDescent="0.35">
      <c r="D54" s="4" t="str">
        <f>IFERROR(COUNTIFS('Raw Data'!$I:$I,Metrics!$B54,'Raw Data'!$D:$D,"*Account number or queue name not found in lookup Sheet*")/COUNTIF('Raw Data'!$I:$I,Metrics!$B54),"")</f>
        <v/>
      </c>
      <c r="E54" s="4"/>
      <c r="L54" s="4" t="str">
        <f>IFERROR((COUNTIFS('Raw Data'!$I:$I, Metrics!$B54,'Raw Data'!$D:$D, "*SR Failed to Update*")/COUNTIF('Raw Data'!$I:$I, Metrics!$B54)),"")</f>
        <v/>
      </c>
    </row>
    <row r="55" spans="4:12" x14ac:dyDescent="0.35">
      <c r="D55" s="4" t="str">
        <f>IFERROR(COUNTIFS('Raw Data'!$I:$I,Metrics!$B55,'Raw Data'!$D:$D,"*Account number or queue name not found in lookup Sheet*")/COUNTIF('Raw Data'!$I:$I,Metrics!$B55),"")</f>
        <v/>
      </c>
      <c r="E55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Grant</dc:creator>
  <cp:lastModifiedBy>Julie Arago</cp:lastModifiedBy>
  <dcterms:created xsi:type="dcterms:W3CDTF">2020-11-04T11:05:46Z</dcterms:created>
  <dcterms:modified xsi:type="dcterms:W3CDTF">2021-08-06T16:52:37Z</dcterms:modified>
</cp:coreProperties>
</file>