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986011\Desktop\UiPath\Report\Report\Data\Input\"/>
    </mc:Choice>
  </mc:AlternateContent>
  <xr:revisionPtr revIDLastSave="0" documentId="13_ncr:1_{6384FEB5-C104-4F1E-A23F-8368320DF3F9}" xr6:coauthVersionLast="36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Raw Data" sheetId="6" r:id="rId1"/>
    <sheet name="Metrics" sheetId="8" r:id="rId2"/>
  </sheets>
  <definedNames>
    <definedName name="_xlnm._FilterDatabase" localSheetId="0" hidden="1">'Raw Data'!$A$1:$V$1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2" i="8"/>
  <c r="E32" i="8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2" i="8"/>
  <c r="A32" i="8" l="1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H2" i="8"/>
  <c r="G2" i="8"/>
  <c r="C2" i="8"/>
</calcChain>
</file>

<file path=xl/sharedStrings.xml><?xml version="1.0" encoding="utf-8"?>
<sst xmlns="http://schemas.openxmlformats.org/spreadsheetml/2006/main" count="30" uniqueCount="30">
  <si>
    <t>Status</t>
  </si>
  <si>
    <t>Exception Type</t>
  </si>
  <si>
    <t>Reason</t>
  </si>
  <si>
    <t>Details</t>
  </si>
  <si>
    <t>Creation Time</t>
  </si>
  <si>
    <t>Date</t>
  </si>
  <si>
    <t>Original Queue</t>
  </si>
  <si>
    <t xml:space="preserve">Successful </t>
  </si>
  <si>
    <t>`</t>
  </si>
  <si>
    <t>SrNumber</t>
  </si>
  <si>
    <t>StatusCd</t>
  </si>
  <si>
    <t>QueueName</t>
  </si>
  <si>
    <t>QueueId</t>
  </si>
  <si>
    <t>ParentAccountNumber_c</t>
  </si>
  <si>
    <t>ParentSRNumber_c</t>
  </si>
  <si>
    <t>CustomerCareRepresentative_c</t>
  </si>
  <si>
    <t>CustomerCareRepresentative_Id_c</t>
  </si>
  <si>
    <t>AccountN_c</t>
  </si>
  <si>
    <t>ManufacturingLocationName_Id_c</t>
  </si>
  <si>
    <t>ManufacturingLocationName_c</t>
  </si>
  <si>
    <t>CategoryId</t>
  </si>
  <si>
    <t>CategoryName</t>
  </si>
  <si>
    <t>StatusCdMeaning</t>
  </si>
  <si>
    <t>AssigneeResourceNumber</t>
  </si>
  <si>
    <t>AppliedPatch</t>
  </si>
  <si>
    <t xml:space="preserve">OEC Update Errors  </t>
  </si>
  <si>
    <t xml:space="preserve">SR Updated  </t>
  </si>
  <si>
    <t xml:space="preserve">Missing Lookup Category </t>
  </si>
  <si>
    <t xml:space="preserve">Missing Lookup Queue </t>
  </si>
  <si>
    <t xml:space="preserve">Category Name is Blank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</si>
</sst>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5">
    <xf numFmtId="0" fontId="0" fillId="0" borderId="0" xfId="0" applyNumberFormat="1" applyFill="1" applyAlignment="1" applyProtection="1"/>
    <xf numFmtId="0" fontId="0" fillId="0" borderId="0" xfId="0"/>
    <xf numFmtId="0" fontId="1" fillId="0" borderId="0" xfId="0" applyNumberFormat="1" applyFont="1" applyFill="1" applyAlignment="1" applyProtection="1">
      <alignment horizontal="center" vertical="center"/>
    </xf>
    <xf numFmtId="10" fontId="0" fillId="0" borderId="0" xfId="0" applyNumberFormat="1" applyFill="1" applyAlignment="1" applyProtection="1"/>
    <xf numFmtId="14" fontId="0" fillId="0" borderId="0" xfId="0" applyNumberFormat="1" applyFill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2AFBE-266D-4597-90AA-0E3E306C32C1}">
  <sheetPr codeName="Sheet2"/>
  <dimension ref="A1:V1"/>
  <sheetViews>
    <sheetView workbookViewId="0">
      <selection sqref="A1:XFD1"/>
    </sheetView>
  </sheetViews>
  <sheetFormatPr defaultColWidth="8.7265625" defaultRowHeight="14.5" x14ac:dyDescent="0.35"/>
  <cols>
    <col min="1" max="1" width="10.7265625" style="1" bestFit="1" customWidth="1"/>
    <col min="2" max="2" width="9.54296875" style="1" bestFit="1" customWidth="1"/>
    <col min="3" max="3" width="19.1796875" style="1" bestFit="1" customWidth="1"/>
    <col min="4" max="4" width="45.81640625" style="1" bestFit="1" customWidth="1"/>
    <col min="5" max="5" width="6.81640625" style="1" bestFit="1" customWidth="1"/>
    <col min="6" max="6" width="15.54296875" style="1" bestFit="1" customWidth="1"/>
    <col min="7" max="7" width="15.453125" style="1" bestFit="1" customWidth="1"/>
    <col min="8" max="8" width="10.1796875" style="1" bestFit="1" customWidth="1"/>
    <col min="9" max="9" width="11.1796875" style="1" bestFit="1" customWidth="1"/>
    <col min="10" max="10" width="8.26953125" style="1" bestFit="1" customWidth="1"/>
    <col min="11" max="11" width="14.1796875" style="1" bestFit="1" customWidth="1"/>
    <col min="12" max="12" width="8.81640625" style="1" customWidth="1"/>
    <col min="13" max="16384" width="8.7265625" style="1"/>
  </cols>
  <sheetData>
    <row r="1" spans="1:22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</row>
  </sheetData>
  <autoFilter ref="A1:V1" xr:uid="{6C377CFF-02AB-4745-81FD-D51D2041D775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0B17-5D83-45EB-9204-CE8CC6697E58}">
  <sheetPr codeName="Sheet1"/>
  <dimension ref="A1:I134"/>
  <sheetViews>
    <sheetView tabSelected="1" topLeftCell="C1" workbookViewId="0">
      <selection activeCell="H3" sqref="H3"/>
    </sheetView>
  </sheetViews>
  <sheetFormatPr defaultRowHeight="14.5" x14ac:dyDescent="0.35"/>
  <cols>
    <col min="1" max="1" width="17.6328125" customWidth="1"/>
    <col min="2" max="2" width="43.26953125" customWidth="1"/>
    <col min="3" max="3" width="17.6328125" customWidth="1"/>
    <col min="4" max="4" width="25.90625" customWidth="1"/>
    <col min="5" max="5" width="21.54296875" customWidth="1"/>
    <col min="6" max="6" width="24.36328125" customWidth="1"/>
    <col min="7" max="8" width="17.6328125" customWidth="1"/>
    <col min="9" max="11" width="15.6328125" customWidth="1"/>
  </cols>
  <sheetData>
    <row r="1" spans="1:9" ht="58.5" customHeight="1" x14ac:dyDescent="0.35">
      <c r="A1" s="2" t="s">
        <v>5</v>
      </c>
      <c r="B1" s="2" t="s">
        <v>6</v>
      </c>
      <c r="C1" s="2" t="s">
        <v>7</v>
      </c>
      <c r="D1" s="2" t="s">
        <v>29</v>
      </c>
      <c r="E1" s="2" t="s">
        <v>28</v>
      </c>
      <c r="F1" s="2" t="s">
        <v>27</v>
      </c>
      <c r="G1" s="2" t="s">
        <v>26</v>
      </c>
      <c r="H1" s="2" t="s">
        <v>25</v>
      </c>
      <c r="I1" s="2"/>
    </row>
    <row r="2" spans="1:9" x14ac:dyDescent="0.35">
      <c r="A2" s="4" t="str">
        <f>IF(B2="","",'Raw Data'!$F$2)</f>
        <v/>
      </c>
      <c r="C2" s="3" t="str">
        <f>IFERROR((COUNTIFS('Raw Data'!$I:$I, Metrics!$B2, 'Raw Data'!$B:$B, "Successful")/COUNTIF('Raw Data'!$I:$I, Metrics!$B2)),"")</f>
        <v/>
      </c>
      <c r="D2" s="3" t="str">
        <f>IFERROR((COUNTIFS('Raw Data'!$I:$I, Metrics!$B2,'Raw Data'!$D:$D, "Category Name is blank for the SR")/COUNTIF('Raw Data'!$I:$I, Metrics!$B2)),"")</f>
        <v/>
      </c>
      <c r="E2" s="3" t="str">
        <f>IFERROR((COUNTIFS('Raw Data'!$I:$I, Metrics!$B2,'Raw Data'!$D:$D, "Lookup table queue not found in OEC")/COUNTIF('Raw Data'!$I:$I, Metrics!$B2)),"")</f>
        <v/>
      </c>
      <c r="F2" s="3" t="str">
        <f>IFERROR(COUNTIFS('Raw Data'!$I:$I,Metrics!$B2,'Raw Data'!$D:$D,"*Lookup table category not found in OEC*")/COUNTIF('Raw Data'!$I:$I,Metrics!$B2),"")</f>
        <v/>
      </c>
      <c r="G2" s="3" t="str">
        <f>IFERROR((COUNTIFS('Raw Data'!$I:$I, Metrics!$B2,'Raw Data'!$D:$D, "SR Status is already updated")/COUNTIF('Raw Data'!$I:$I, Metrics!$B2)),"")</f>
        <v/>
      </c>
      <c r="H2" s="3" t="str">
        <f>IFERROR((COUNTIFS('Raw Data'!$I:$I, Metrics!$B2,'Raw Data'!$D:$D, "*SR Failed to Update*")/COUNTIF('Raw Data'!$I:$I, Metrics!$B2)),"")</f>
        <v/>
      </c>
    </row>
    <row r="3" spans="1:9" x14ac:dyDescent="0.35">
      <c r="A3" s="4" t="str">
        <f>IF(B3="","",'Raw Data'!$F$2)</f>
        <v/>
      </c>
      <c r="C3" s="3" t="str">
        <f>IFERROR((COUNTIFS('Raw Data'!$I:$I, Metrics!$B3, 'Raw Data'!$B:$B, "Successful")/COUNTIF('Raw Data'!$I:$I, Metrics!$B3)),"")</f>
        <v/>
      </c>
      <c r="D3" s="3" t="str">
        <f>IFERROR((COUNTIFS('Raw Data'!$I:$I, Metrics!$B3,'Raw Data'!$D:$D, "Category Name is blank for the SR")/COUNTIF('Raw Data'!$I:$I, Metrics!$B3)),"")</f>
        <v/>
      </c>
      <c r="E3" s="3" t="str">
        <f>IFERROR((COUNTIFS('Raw Data'!$I:$I, Metrics!$B3,'Raw Data'!$D:$D, "Lookup table queue not found in OEC")/COUNTIF('Raw Data'!$I:$I, Metrics!$B3)),"")</f>
        <v/>
      </c>
      <c r="F3" s="3" t="str">
        <f>IFERROR(COUNTIFS('Raw Data'!$I:$I,Metrics!$B3,'Raw Data'!$D:$D,"*Lookup table category not found in OEC*")/COUNTIF('Raw Data'!$I:$I,Metrics!$B3),"")</f>
        <v/>
      </c>
      <c r="G3" s="3" t="str">
        <f>IFERROR((COUNTIFS('Raw Data'!$I:$I, Metrics!$B3,'Raw Data'!$D:$D, "SR Status is already updated")/COUNTIF('Raw Data'!$I:$I, Metrics!$B3)),"")</f>
        <v/>
      </c>
      <c r="H3" s="3" t="str">
        <f>IFERROR((COUNTIFS('Raw Data'!$I:$I, Metrics!$B3,'Raw Data'!$D:$D, "*SR Failed to Update*")/COUNTIF('Raw Data'!$I:$I, Metrics!$B3)),"")</f>
        <v/>
      </c>
    </row>
    <row r="4" spans="1:9" x14ac:dyDescent="0.35">
      <c r="A4" s="4" t="str">
        <f>IF(B4="","",'Raw Data'!$F$2)</f>
        <v/>
      </c>
      <c r="C4" s="3" t="str">
        <f>IFERROR((COUNTIFS('Raw Data'!$I:$I, Metrics!$B4, 'Raw Data'!$B:$B, "Successful")/COUNTIF('Raw Data'!$I:$I, Metrics!$B4)),"")</f>
        <v/>
      </c>
      <c r="D4" s="3" t="str">
        <f>IFERROR((COUNTIFS('Raw Data'!$I:$I, Metrics!$B4,'Raw Data'!$D:$D, "Category Name is blank for the SR")/COUNTIF('Raw Data'!$I:$I, Metrics!$B4)),"")</f>
        <v/>
      </c>
      <c r="E4" s="3" t="str">
        <f>IFERROR((COUNTIFS('Raw Data'!$I:$I, Metrics!$B4,'Raw Data'!$D:$D, "Lookup table queue not found in OEC")/COUNTIF('Raw Data'!$I:$I, Metrics!$B4)),"")</f>
        <v/>
      </c>
      <c r="F4" s="3" t="str">
        <f>IFERROR(COUNTIFS('Raw Data'!$I:$I,Metrics!$B4,'Raw Data'!$D:$D,"*Lookup table category not found in OEC*")/COUNTIF('Raw Data'!$I:$I,Metrics!$B4),"")</f>
        <v/>
      </c>
      <c r="G4" s="3" t="str">
        <f>IFERROR((COUNTIFS('Raw Data'!$I:$I, Metrics!$B4,'Raw Data'!$D:$D, "SR Status is already updated")/COUNTIF('Raw Data'!$I:$I, Metrics!$B4)),"")</f>
        <v/>
      </c>
      <c r="H4" s="3" t="str">
        <f>IFERROR((COUNTIFS('Raw Data'!$I:$I, Metrics!$B4,'Raw Data'!$D:$D, "*SR Failed to Update*")/COUNTIF('Raw Data'!$I:$I, Metrics!$B4)),"")</f>
        <v/>
      </c>
    </row>
    <row r="5" spans="1:9" x14ac:dyDescent="0.35">
      <c r="A5" s="4" t="str">
        <f>IF(B5="","",'Raw Data'!$F$2)</f>
        <v/>
      </c>
      <c r="C5" s="3" t="str">
        <f>IFERROR((COUNTIFS('Raw Data'!$I:$I, Metrics!$B5, 'Raw Data'!$B:$B, "Successful")/COUNTIF('Raw Data'!$I:$I, Metrics!$B5)),"")</f>
        <v/>
      </c>
      <c r="D5" s="3" t="str">
        <f>IFERROR((COUNTIFS('Raw Data'!$I:$I, Metrics!$B5,'Raw Data'!$D:$D, "Category Name is blank for the SR")/COUNTIF('Raw Data'!$I:$I, Metrics!$B5)),"")</f>
        <v/>
      </c>
      <c r="E5" s="3" t="str">
        <f>IFERROR((COUNTIFS('Raw Data'!$I:$I, Metrics!$B5,'Raw Data'!$D:$D, "Lookup table queue not found in OEC")/COUNTIF('Raw Data'!$I:$I, Metrics!$B5)),"")</f>
        <v/>
      </c>
      <c r="F5" s="3" t="str">
        <f>IFERROR(COUNTIFS('Raw Data'!$I:$I,Metrics!$B5,'Raw Data'!$D:$D,"*Lookup table category not found in OEC*")/COUNTIF('Raw Data'!$I:$I,Metrics!$B5),"")</f>
        <v/>
      </c>
      <c r="G5" s="3" t="str">
        <f>IFERROR((COUNTIFS('Raw Data'!$I:$I, Metrics!$B5,'Raw Data'!$D:$D, "SR Status is already updated")/COUNTIF('Raw Data'!$I:$I, Metrics!$B5)),"")</f>
        <v/>
      </c>
      <c r="H5" s="3" t="str">
        <f>IFERROR((COUNTIFS('Raw Data'!$I:$I, Metrics!$B5,'Raw Data'!$D:$D, "*SR Failed to Update*")/COUNTIF('Raw Data'!$I:$I, Metrics!$B5)),"")</f>
        <v/>
      </c>
    </row>
    <row r="6" spans="1:9" x14ac:dyDescent="0.35">
      <c r="A6" s="4" t="str">
        <f>IF(B6="","",'Raw Data'!$F$2)</f>
        <v/>
      </c>
      <c r="C6" s="3" t="str">
        <f>IFERROR((COUNTIFS('Raw Data'!$I:$I, Metrics!$B6, 'Raw Data'!$B:$B, "Successful")/COUNTIF('Raw Data'!$I:$I, Metrics!$B6)),"")</f>
        <v/>
      </c>
      <c r="D6" s="3" t="str">
        <f>IFERROR((COUNTIFS('Raw Data'!$I:$I, Metrics!$B6,'Raw Data'!$D:$D, "Category Name is blank for the SR")/COUNTIF('Raw Data'!$I:$I, Metrics!$B6)),"")</f>
        <v/>
      </c>
      <c r="E6" s="3" t="str">
        <f>IFERROR((COUNTIFS('Raw Data'!$I:$I, Metrics!$B6,'Raw Data'!$D:$D, "Lookup table queue not found in OEC")/COUNTIF('Raw Data'!$I:$I, Metrics!$B6)),"")</f>
        <v/>
      </c>
      <c r="F6" s="3" t="str">
        <f>IFERROR(COUNTIFS('Raw Data'!$I:$I,Metrics!$B6,'Raw Data'!$D:$D,"*Lookup table category not found in OEC*")/COUNTIF('Raw Data'!$I:$I,Metrics!$B6),"")</f>
        <v/>
      </c>
      <c r="G6" s="3" t="str">
        <f>IFERROR((COUNTIFS('Raw Data'!$I:$I, Metrics!$B6,'Raw Data'!$D:$D, "SR Status is already updated")/COUNTIF('Raw Data'!$I:$I, Metrics!$B6)),"")</f>
        <v/>
      </c>
      <c r="H6" s="3" t="str">
        <f>IFERROR((COUNTIFS('Raw Data'!$I:$I, Metrics!$B6,'Raw Data'!$D:$D, "*SR Failed to Update*")/COUNTIF('Raw Data'!$I:$I, Metrics!$B6)),"")</f>
        <v/>
      </c>
    </row>
    <row r="7" spans="1:9" x14ac:dyDescent="0.35">
      <c r="A7" s="4" t="str">
        <f>IF(B7="","",'Raw Data'!$F$2)</f>
        <v/>
      </c>
      <c r="C7" s="3" t="str">
        <f>IFERROR((COUNTIFS('Raw Data'!$I:$I, Metrics!$B7, 'Raw Data'!$B:$B, "Successful")/COUNTIF('Raw Data'!$I:$I, Metrics!$B7)),"")</f>
        <v/>
      </c>
      <c r="D7" s="3" t="str">
        <f>IFERROR((COUNTIFS('Raw Data'!$I:$I, Metrics!$B7,'Raw Data'!$D:$D, "Category Name is blank for the SR")/COUNTIF('Raw Data'!$I:$I, Metrics!$B7)),"")</f>
        <v/>
      </c>
      <c r="E7" s="3" t="str">
        <f>IFERROR((COUNTIFS('Raw Data'!$I:$I, Metrics!$B7,'Raw Data'!$D:$D, "Lookup table queue not found in OEC")/COUNTIF('Raw Data'!$I:$I, Metrics!$B7)),"")</f>
        <v/>
      </c>
      <c r="F7" s="3" t="str">
        <f>IFERROR(COUNTIFS('Raw Data'!$I:$I,Metrics!$B7,'Raw Data'!$D:$D,"*Lookup table category not found in OEC*")/COUNTIF('Raw Data'!$I:$I,Metrics!$B7),"")</f>
        <v/>
      </c>
      <c r="G7" s="3" t="str">
        <f>IFERROR((COUNTIFS('Raw Data'!$I:$I, Metrics!$B7,'Raw Data'!$D:$D, "SR Status is already updated")/COUNTIF('Raw Data'!$I:$I, Metrics!$B7)),"")</f>
        <v/>
      </c>
      <c r="H7" s="3" t="str">
        <f>IFERROR((COUNTIFS('Raw Data'!$I:$I, Metrics!$B7,'Raw Data'!$D:$D, "*SR Failed to Update*")/COUNTIF('Raw Data'!$I:$I, Metrics!$B7)),"")</f>
        <v/>
      </c>
    </row>
    <row r="8" spans="1:9" x14ac:dyDescent="0.35">
      <c r="A8" s="4" t="str">
        <f>IF(B8="","",'Raw Data'!$F$2)</f>
        <v/>
      </c>
      <c r="C8" s="3" t="str">
        <f>IFERROR((COUNTIFS('Raw Data'!$I:$I, Metrics!$B8, 'Raw Data'!$B:$B, "Successful")/COUNTIF('Raw Data'!$I:$I, Metrics!$B8)),"")</f>
        <v/>
      </c>
      <c r="D8" s="3" t="str">
        <f>IFERROR((COUNTIFS('Raw Data'!$I:$I, Metrics!$B8,'Raw Data'!$D:$D, "Category Name is blank for the SR")/COUNTIF('Raw Data'!$I:$I, Metrics!$B8)),"")</f>
        <v/>
      </c>
      <c r="E8" s="3" t="str">
        <f>IFERROR((COUNTIFS('Raw Data'!$I:$I, Metrics!$B8,'Raw Data'!$D:$D, "Lookup table queue not found in OEC")/COUNTIF('Raw Data'!$I:$I, Metrics!$B8)),"")</f>
        <v/>
      </c>
      <c r="F8" s="3" t="str">
        <f>IFERROR(COUNTIFS('Raw Data'!$I:$I,Metrics!$B8,'Raw Data'!$D:$D,"*Lookup table category not found in OEC*")/COUNTIF('Raw Data'!$I:$I,Metrics!$B8),"")</f>
        <v/>
      </c>
      <c r="G8" s="3" t="str">
        <f>IFERROR((COUNTIFS('Raw Data'!$I:$I, Metrics!$B8,'Raw Data'!$D:$D, "SR Status is already updated")/COUNTIF('Raw Data'!$I:$I, Metrics!$B8)),"")</f>
        <v/>
      </c>
      <c r="H8" s="3" t="str">
        <f>IFERROR((COUNTIFS('Raw Data'!$I:$I, Metrics!$B8,'Raw Data'!$D:$D, "*SR Failed to Update*")/COUNTIF('Raw Data'!$I:$I, Metrics!$B8)),"")</f>
        <v/>
      </c>
    </row>
    <row r="9" spans="1:9" x14ac:dyDescent="0.35">
      <c r="A9" s="4" t="str">
        <f>IF(B9="","",'Raw Data'!$F$2)</f>
        <v/>
      </c>
      <c r="C9" s="3" t="str">
        <f>IFERROR((COUNTIFS('Raw Data'!$I:$I, Metrics!$B9, 'Raw Data'!$B:$B, "Successful")/COUNTIF('Raw Data'!$I:$I, Metrics!$B9)),"")</f>
        <v/>
      </c>
      <c r="D9" s="3" t="str">
        <f>IFERROR((COUNTIFS('Raw Data'!$I:$I, Metrics!$B9,'Raw Data'!$D:$D, "Category Name is blank for the SR")/COUNTIF('Raw Data'!$I:$I, Metrics!$B9)),"")</f>
        <v/>
      </c>
      <c r="E9" s="3" t="str">
        <f>IFERROR((COUNTIFS('Raw Data'!$I:$I, Metrics!$B9,'Raw Data'!$D:$D, "Lookup table queue not found in OEC")/COUNTIF('Raw Data'!$I:$I, Metrics!$B9)),"")</f>
        <v/>
      </c>
      <c r="F9" s="3" t="str">
        <f>IFERROR(COUNTIFS('Raw Data'!$I:$I,Metrics!$B9,'Raw Data'!$D:$D,"*Lookup table category not found in OEC*")/COUNTIF('Raw Data'!$I:$I,Metrics!$B9),"")</f>
        <v/>
      </c>
      <c r="G9" s="3" t="str">
        <f>IFERROR((COUNTIFS('Raw Data'!$I:$I, Metrics!$B9,'Raw Data'!$D:$D, "SR Status is already updated")/COUNTIF('Raw Data'!$I:$I, Metrics!$B9)),"")</f>
        <v/>
      </c>
      <c r="H9" s="3" t="str">
        <f>IFERROR((COUNTIFS('Raw Data'!$I:$I, Metrics!$B9,'Raw Data'!$D:$D, "*SR Failed to Update*")/COUNTIF('Raw Data'!$I:$I, Metrics!$B9)),"")</f>
        <v/>
      </c>
    </row>
    <row r="10" spans="1:9" x14ac:dyDescent="0.35">
      <c r="A10" s="4" t="str">
        <f>IF(B10="","",'Raw Data'!$F$2)</f>
        <v/>
      </c>
      <c r="C10" s="3" t="str">
        <f>IFERROR((COUNTIFS('Raw Data'!$I:$I, Metrics!$B10, 'Raw Data'!$B:$B, "Successful")/COUNTIF('Raw Data'!$I:$I, Metrics!$B10)),"")</f>
        <v/>
      </c>
      <c r="D10" s="3" t="str">
        <f>IFERROR((COUNTIFS('Raw Data'!$I:$I, Metrics!$B10,'Raw Data'!$D:$D, "Category Name is blank for the SR")/COUNTIF('Raw Data'!$I:$I, Metrics!$B10)),"")</f>
        <v/>
      </c>
      <c r="E10" s="3" t="str">
        <f>IFERROR((COUNTIFS('Raw Data'!$I:$I, Metrics!$B10,'Raw Data'!$D:$D, "Lookup table queue not found in OEC")/COUNTIF('Raw Data'!$I:$I, Metrics!$B10)),"")</f>
        <v/>
      </c>
      <c r="F10" s="3" t="str">
        <f>IFERROR(COUNTIFS('Raw Data'!$I:$I,Metrics!$B10,'Raw Data'!$D:$D,"*Lookup table category not found in OEC*")/COUNTIF('Raw Data'!$I:$I,Metrics!$B10),"")</f>
        <v/>
      </c>
      <c r="G10" s="3" t="str">
        <f>IFERROR((COUNTIFS('Raw Data'!$I:$I, Metrics!$B10,'Raw Data'!$D:$D, "SR Status is already updated")/COUNTIF('Raw Data'!$I:$I, Metrics!$B10)),"")</f>
        <v/>
      </c>
      <c r="H10" s="3" t="str">
        <f>IFERROR((COUNTIFS('Raw Data'!$I:$I, Metrics!$B10,'Raw Data'!$D:$D, "*SR Failed to Update*")/COUNTIF('Raw Data'!$I:$I, Metrics!$B10)),"")</f>
        <v/>
      </c>
    </row>
    <row r="11" spans="1:9" x14ac:dyDescent="0.35">
      <c r="A11" s="4" t="str">
        <f>IF(B11="","",'Raw Data'!$F$2)</f>
        <v/>
      </c>
      <c r="C11" s="3" t="str">
        <f>IFERROR((COUNTIFS('Raw Data'!$I:$I, Metrics!$B11, 'Raw Data'!$B:$B, "Successful")/COUNTIF('Raw Data'!$I:$I, Metrics!$B11)),"")</f>
        <v/>
      </c>
      <c r="D11" s="3" t="str">
        <f>IFERROR((COUNTIFS('Raw Data'!$I:$I, Metrics!$B11,'Raw Data'!$D:$D, "Category Name is blank for the SR")/COUNTIF('Raw Data'!$I:$I, Metrics!$B11)),"")</f>
        <v/>
      </c>
      <c r="E11" s="3" t="str">
        <f>IFERROR((COUNTIFS('Raw Data'!$I:$I, Metrics!$B11,'Raw Data'!$D:$D, "Lookup table queue not found in OEC")/COUNTIF('Raw Data'!$I:$I, Metrics!$B11)),"")</f>
        <v/>
      </c>
      <c r="F11" s="3" t="str">
        <f>IFERROR(COUNTIFS('Raw Data'!$I:$I,Metrics!$B11,'Raw Data'!$D:$D,"*Lookup table category not found in OEC*")/COUNTIF('Raw Data'!$I:$I,Metrics!$B11),"")</f>
        <v/>
      </c>
      <c r="G11" s="3" t="str">
        <f>IFERROR((COUNTIFS('Raw Data'!$I:$I, Metrics!$B11,'Raw Data'!$D:$D, "SR Status is already updated")/COUNTIF('Raw Data'!$I:$I, Metrics!$B11)),"")</f>
        <v/>
      </c>
      <c r="H11" s="3" t="str">
        <f>IFERROR((COUNTIFS('Raw Data'!$I:$I, Metrics!$B11,'Raw Data'!$D:$D, "*SR Failed to Update*")/COUNTIF('Raw Data'!$I:$I, Metrics!$B11)),"")</f>
        <v/>
      </c>
    </row>
    <row r="12" spans="1:9" x14ac:dyDescent="0.35">
      <c r="A12" s="4" t="str">
        <f>IF(B12="","",'Raw Data'!$F$2)</f>
        <v/>
      </c>
      <c r="C12" s="3" t="str">
        <f>IFERROR((COUNTIFS('Raw Data'!$I:$I, Metrics!$B12, 'Raw Data'!$B:$B, "Successful")/COUNTIF('Raw Data'!$I:$I, Metrics!$B12)),"")</f>
        <v/>
      </c>
      <c r="D12" s="3" t="str">
        <f>IFERROR((COUNTIFS('Raw Data'!$I:$I, Metrics!$B12,'Raw Data'!$D:$D, "Category Name is blank for the SR")/COUNTIF('Raw Data'!$I:$I, Metrics!$B12)),"")</f>
        <v/>
      </c>
      <c r="E12" s="3" t="str">
        <f>IFERROR((COUNTIFS('Raw Data'!$I:$I, Metrics!$B12,'Raw Data'!$D:$D, "Lookup table queue not found in OEC")/COUNTIF('Raw Data'!$I:$I, Metrics!$B12)),"")</f>
        <v/>
      </c>
      <c r="F12" s="3" t="str">
        <f>IFERROR(COUNTIFS('Raw Data'!$I:$I,Metrics!$B12,'Raw Data'!$D:$D,"*Lookup table category not found in OEC*")/COUNTIF('Raw Data'!$I:$I,Metrics!$B12),"")</f>
        <v/>
      </c>
      <c r="G12" s="3" t="str">
        <f>IFERROR((COUNTIFS('Raw Data'!$I:$I, Metrics!$B12,'Raw Data'!$D:$D, "SR Status is already updated")/COUNTIF('Raw Data'!$I:$I, Metrics!$B12)),"")</f>
        <v/>
      </c>
      <c r="H12" s="3" t="str">
        <f>IFERROR((COUNTIFS('Raw Data'!$I:$I, Metrics!$B12,'Raw Data'!$D:$D, "*SR Failed to Update*")/COUNTIF('Raw Data'!$I:$I, Metrics!$B12)),"")</f>
        <v/>
      </c>
    </row>
    <row r="13" spans="1:9" x14ac:dyDescent="0.35">
      <c r="A13" s="4" t="str">
        <f>IF(B13="","",'Raw Data'!$F$2)</f>
        <v/>
      </c>
      <c r="C13" s="3" t="str">
        <f>IFERROR((COUNTIFS('Raw Data'!$I:$I, Metrics!$B13, 'Raw Data'!$B:$B, "Successful")/COUNTIF('Raw Data'!$I:$I, Metrics!$B13)),"")</f>
        <v/>
      </c>
      <c r="D13" s="3" t="str">
        <f>IFERROR((COUNTIFS('Raw Data'!$I:$I, Metrics!$B13,'Raw Data'!$D:$D, "Category Name is blank for the SR")/COUNTIF('Raw Data'!$I:$I, Metrics!$B13)),"")</f>
        <v/>
      </c>
      <c r="E13" s="3" t="str">
        <f>IFERROR((COUNTIFS('Raw Data'!$I:$I, Metrics!$B13,'Raw Data'!$D:$D, "Lookup table queue not found in OEC")/COUNTIF('Raw Data'!$I:$I, Metrics!$B13)),"")</f>
        <v/>
      </c>
      <c r="F13" s="3" t="str">
        <f>IFERROR(COUNTIFS('Raw Data'!$I:$I,Metrics!$B13,'Raw Data'!$D:$D,"*Lookup table category not found in OEC*")/COUNTIF('Raw Data'!$I:$I,Metrics!$B13),"")</f>
        <v/>
      </c>
      <c r="G13" s="3" t="str">
        <f>IFERROR((COUNTIFS('Raw Data'!$I:$I, Metrics!$B13,'Raw Data'!$D:$D, "SR Status is already updated")/COUNTIF('Raw Data'!$I:$I, Metrics!$B13)),"")</f>
        <v/>
      </c>
      <c r="H13" s="3" t="str">
        <f>IFERROR((COUNTIFS('Raw Data'!$I:$I, Metrics!$B13,'Raw Data'!$D:$D, "*SR Failed to Update*")/COUNTIF('Raw Data'!$I:$I, Metrics!$B13)),"")</f>
        <v/>
      </c>
    </row>
    <row r="14" spans="1:9" x14ac:dyDescent="0.35">
      <c r="A14" s="4" t="str">
        <f>IF(B14="","",'Raw Data'!$F$2)</f>
        <v/>
      </c>
      <c r="C14" s="3" t="str">
        <f>IFERROR((COUNTIFS('Raw Data'!$I:$I, Metrics!$B14, 'Raw Data'!$B:$B, "Successful")/COUNTIF('Raw Data'!$I:$I, Metrics!$B14)),"")</f>
        <v/>
      </c>
      <c r="D14" s="3" t="str">
        <f>IFERROR((COUNTIFS('Raw Data'!$I:$I, Metrics!$B14,'Raw Data'!$D:$D, "Category Name is blank for the SR")/COUNTIF('Raw Data'!$I:$I, Metrics!$B14)),"")</f>
        <v/>
      </c>
      <c r="E14" s="3" t="str">
        <f>IFERROR((COUNTIFS('Raw Data'!$I:$I, Metrics!$B14,'Raw Data'!$D:$D, "Lookup table queue not found in OEC")/COUNTIF('Raw Data'!$I:$I, Metrics!$B14)),"")</f>
        <v/>
      </c>
      <c r="F14" s="3" t="str">
        <f>IFERROR(COUNTIFS('Raw Data'!$I:$I,Metrics!$B14,'Raw Data'!$D:$D,"*Lookup table category not found in OEC*")/COUNTIF('Raw Data'!$I:$I,Metrics!$B14),"")</f>
        <v/>
      </c>
      <c r="G14" s="3" t="str">
        <f>IFERROR((COUNTIFS('Raw Data'!$I:$I, Metrics!$B14,'Raw Data'!$D:$D, "SR Status is already updated")/COUNTIF('Raw Data'!$I:$I, Metrics!$B14)),"")</f>
        <v/>
      </c>
      <c r="H14" s="3" t="str">
        <f>IFERROR((COUNTIFS('Raw Data'!$I:$I, Metrics!$B14,'Raw Data'!$D:$D, "*SR Failed to Update*")/COUNTIF('Raw Data'!$I:$I, Metrics!$B14)),"")</f>
        <v/>
      </c>
    </row>
    <row r="15" spans="1:9" x14ac:dyDescent="0.35">
      <c r="A15" s="4" t="str">
        <f>IF(B15="","",'Raw Data'!$F$2)</f>
        <v/>
      </c>
      <c r="C15" s="3" t="str">
        <f>IFERROR((COUNTIFS('Raw Data'!$I:$I, Metrics!$B15, 'Raw Data'!$B:$B, "Successful")/COUNTIF('Raw Data'!$I:$I, Metrics!$B15)),"")</f>
        <v/>
      </c>
      <c r="D15" s="3" t="str">
        <f>IFERROR((COUNTIFS('Raw Data'!$I:$I, Metrics!$B15,'Raw Data'!$D:$D, "Category Name is blank for the SR")/COUNTIF('Raw Data'!$I:$I, Metrics!$B15)),"")</f>
        <v/>
      </c>
      <c r="E15" s="3" t="str">
        <f>IFERROR((COUNTIFS('Raw Data'!$I:$I, Metrics!$B15,'Raw Data'!$D:$D, "Lookup table queue not found in OEC")/COUNTIF('Raw Data'!$I:$I, Metrics!$B15)),"")</f>
        <v/>
      </c>
      <c r="F15" s="3" t="str">
        <f>IFERROR(COUNTIFS('Raw Data'!$I:$I,Metrics!$B15,'Raw Data'!$D:$D,"*Lookup table category not found in OEC*")/COUNTIF('Raw Data'!$I:$I,Metrics!$B15),"")</f>
        <v/>
      </c>
      <c r="G15" s="3" t="str">
        <f>IFERROR((COUNTIFS('Raw Data'!$I:$I, Metrics!$B15,'Raw Data'!$D:$D, "SR Status is already updated")/COUNTIF('Raw Data'!$I:$I, Metrics!$B15)),"")</f>
        <v/>
      </c>
      <c r="H15" s="3" t="str">
        <f>IFERROR((COUNTIFS('Raw Data'!$I:$I, Metrics!$B15,'Raw Data'!$D:$D, "*SR Failed to Update*")/COUNTIF('Raw Data'!$I:$I, Metrics!$B15)),"")</f>
        <v/>
      </c>
    </row>
    <row r="16" spans="1:9" x14ac:dyDescent="0.35">
      <c r="A16" s="4" t="str">
        <f>IF(B16="","",'Raw Data'!$F$2)</f>
        <v/>
      </c>
      <c r="C16" s="3" t="str">
        <f>IFERROR((COUNTIFS('Raw Data'!$I:$I, Metrics!$B16, 'Raw Data'!$B:$B, "Successful")/COUNTIF('Raw Data'!$I:$I, Metrics!$B16)),"")</f>
        <v/>
      </c>
      <c r="D16" s="3" t="str">
        <f>IFERROR((COUNTIFS('Raw Data'!$I:$I, Metrics!$B16,'Raw Data'!$D:$D, "Category Name is blank for the SR")/COUNTIF('Raw Data'!$I:$I, Metrics!$B16)),"")</f>
        <v/>
      </c>
      <c r="E16" s="3" t="str">
        <f>IFERROR((COUNTIFS('Raw Data'!$I:$I, Metrics!$B16,'Raw Data'!$D:$D, "Lookup table queue not found in OEC")/COUNTIF('Raw Data'!$I:$I, Metrics!$B16)),"")</f>
        <v/>
      </c>
      <c r="F16" s="3" t="str">
        <f>IFERROR(COUNTIFS('Raw Data'!$I:$I,Metrics!$B16,'Raw Data'!$D:$D,"*Lookup table category not found in OEC*")/COUNTIF('Raw Data'!$I:$I,Metrics!$B16),"")</f>
        <v/>
      </c>
      <c r="G16" s="3" t="str">
        <f>IFERROR((COUNTIFS('Raw Data'!$I:$I, Metrics!$B16,'Raw Data'!$D:$D, "SR Status is already updated")/COUNTIF('Raw Data'!$I:$I, Metrics!$B16)),"")</f>
        <v/>
      </c>
      <c r="H16" s="3" t="str">
        <f>IFERROR((COUNTIFS('Raw Data'!$I:$I, Metrics!$B16,'Raw Data'!$D:$D, "*SR Failed to Update*")/COUNTIF('Raw Data'!$I:$I, Metrics!$B16)),"")</f>
        <v/>
      </c>
    </row>
    <row r="17" spans="1:8" x14ac:dyDescent="0.35">
      <c r="A17" s="4" t="str">
        <f>IF(B17="","",'Raw Data'!$F$2)</f>
        <v/>
      </c>
      <c r="C17" s="3" t="str">
        <f>IFERROR((COUNTIFS('Raw Data'!$I:$I, Metrics!$B17, 'Raw Data'!$B:$B, "Successful")/COUNTIF('Raw Data'!$I:$I, Metrics!$B17)),"")</f>
        <v/>
      </c>
      <c r="D17" s="3" t="str">
        <f>IFERROR((COUNTIFS('Raw Data'!$I:$I, Metrics!$B17,'Raw Data'!$D:$D, "Category Name is blank for the SR")/COUNTIF('Raw Data'!$I:$I, Metrics!$B17)),"")</f>
        <v/>
      </c>
      <c r="E17" s="3" t="str">
        <f>IFERROR((COUNTIFS('Raw Data'!$I:$I, Metrics!$B17,'Raw Data'!$D:$D, "Lookup table queue not found in OEC")/COUNTIF('Raw Data'!$I:$I, Metrics!$B17)),"")</f>
        <v/>
      </c>
      <c r="F17" s="3" t="str">
        <f>IFERROR(COUNTIFS('Raw Data'!$I:$I,Metrics!$B17,'Raw Data'!$D:$D,"*Lookup table category not found in OEC*")/COUNTIF('Raw Data'!$I:$I,Metrics!$B17),"")</f>
        <v/>
      </c>
      <c r="G17" s="3" t="str">
        <f>IFERROR((COUNTIFS('Raw Data'!$I:$I, Metrics!$B17,'Raw Data'!$D:$D, "SR Status is already updated")/COUNTIF('Raw Data'!$I:$I, Metrics!$B17)),"")</f>
        <v/>
      </c>
      <c r="H17" s="3" t="str">
        <f>IFERROR((COUNTIFS('Raw Data'!$I:$I, Metrics!$B17,'Raw Data'!$D:$D, "*SR Failed to Update*")/COUNTIF('Raw Data'!$I:$I, Metrics!$B17)),"")</f>
        <v/>
      </c>
    </row>
    <row r="18" spans="1:8" x14ac:dyDescent="0.35">
      <c r="A18" s="4" t="str">
        <f>IF(B18="","",'Raw Data'!$F$2)</f>
        <v/>
      </c>
      <c r="C18" s="3" t="str">
        <f>IFERROR((COUNTIFS('Raw Data'!$I:$I, Metrics!$B18, 'Raw Data'!$B:$B, "Successful")/COUNTIF('Raw Data'!$I:$I, Metrics!$B18)),"")</f>
        <v/>
      </c>
      <c r="D18" s="3"/>
      <c r="E18" s="3" t="str">
        <f>IFERROR((COUNTIFS('Raw Data'!$I:$I, Metrics!$B18,'Raw Data'!$D:$D, "Lookup table queue not found in OEC")/COUNTIF('Raw Data'!$I:$I, Metrics!$B18)),"")</f>
        <v/>
      </c>
      <c r="F18" s="3" t="str">
        <f>IFERROR(COUNTIFS('Raw Data'!$I:$I,Metrics!$B18,'Raw Data'!$D:$D,"*Lookup table category not found in OEC*")/COUNTIF('Raw Data'!$I:$I,Metrics!$B18),"")</f>
        <v/>
      </c>
      <c r="G18" s="3" t="str">
        <f>IFERROR((COUNTIFS('Raw Data'!$I:$I, Metrics!$B18,'Raw Data'!$D:$D, "SR Status is already updated")/COUNTIF('Raw Data'!$I:$I, Metrics!$B18)),"")</f>
        <v/>
      </c>
      <c r="H18" s="3" t="str">
        <f>IFERROR((COUNTIFS('Raw Data'!$I:$I, Metrics!$B18,'Raw Data'!$D:$D, "*SR Failed to Update*")/COUNTIF('Raw Data'!$I:$I, Metrics!$B18)),"")</f>
        <v/>
      </c>
    </row>
    <row r="19" spans="1:8" x14ac:dyDescent="0.35">
      <c r="A19" s="4" t="str">
        <f>IF(B19="","",'Raw Data'!$F$2)</f>
        <v/>
      </c>
      <c r="C19" s="3" t="str">
        <f>IFERROR((COUNTIFS('Raw Data'!$I:$I, Metrics!$B19, 'Raw Data'!$B:$B, "Successful")/COUNTIF('Raw Data'!$I:$I, Metrics!$B19)),"")</f>
        <v/>
      </c>
      <c r="D19" s="3"/>
      <c r="E19" s="3" t="str">
        <f>IFERROR((COUNTIFS('Raw Data'!$I:$I, Metrics!$B19,'Raw Data'!$D:$D, "Lookup table queue not found in OEC")/COUNTIF('Raw Data'!$I:$I, Metrics!$B19)),"")</f>
        <v/>
      </c>
      <c r="F19" s="3" t="str">
        <f>IFERROR(COUNTIFS('Raw Data'!$I:$I,Metrics!$B19,'Raw Data'!$D:$D,"*Lookup table category not found in OEC*")/COUNTIF('Raw Data'!$I:$I,Metrics!$B19),"")</f>
        <v/>
      </c>
      <c r="G19" s="3" t="str">
        <f>IFERROR((COUNTIFS('Raw Data'!$I:$I, Metrics!$B19,'Raw Data'!$D:$D, "SR Status is already updated")/COUNTIF('Raw Data'!$I:$I, Metrics!$B19)),"")</f>
        <v/>
      </c>
      <c r="H19" s="3" t="str">
        <f>IFERROR((COUNTIFS('Raw Data'!$I:$I, Metrics!$B19,'Raw Data'!$D:$D, "*SR Failed to Update*")/COUNTIF('Raw Data'!$I:$I, Metrics!$B19)),"")</f>
        <v/>
      </c>
    </row>
    <row r="20" spans="1:8" x14ac:dyDescent="0.35">
      <c r="A20" s="4" t="str">
        <f>IF(B20="","",'Raw Data'!$F$2)</f>
        <v/>
      </c>
      <c r="C20" s="3" t="str">
        <f>IFERROR((COUNTIFS('Raw Data'!$I:$I, Metrics!$B20, 'Raw Data'!$B:$B, "Successful")/COUNTIF('Raw Data'!$I:$I, Metrics!$B20)),"")</f>
        <v/>
      </c>
      <c r="D20" s="3"/>
      <c r="E20" s="3" t="str">
        <f>IFERROR((COUNTIFS('Raw Data'!$I:$I, Metrics!$B20,'Raw Data'!$D:$D, "Lookup table queue not found in OEC")/COUNTIF('Raw Data'!$I:$I, Metrics!$B20)),"")</f>
        <v/>
      </c>
      <c r="F20" s="3" t="str">
        <f>IFERROR(COUNTIFS('Raw Data'!$I:$I,Metrics!$B20,'Raw Data'!$D:$D,"*Lookup table category not found in OEC*")/COUNTIF('Raw Data'!$I:$I,Metrics!$B20),"")</f>
        <v/>
      </c>
      <c r="G20" s="3" t="str">
        <f>IFERROR((COUNTIFS('Raw Data'!$I:$I, Metrics!$B20,'Raw Data'!$D:$D, "SR Status is already updated")/COUNTIF('Raw Data'!$I:$I, Metrics!$B20)),"")</f>
        <v/>
      </c>
      <c r="H20" s="3" t="str">
        <f>IFERROR((COUNTIFS('Raw Data'!$I:$I, Metrics!$B20,'Raw Data'!$D:$D, "*SR Failed to Update*")/COUNTIF('Raw Data'!$I:$I, Metrics!$B20)),"")</f>
        <v/>
      </c>
    </row>
    <row r="21" spans="1:8" x14ac:dyDescent="0.35">
      <c r="A21" s="4" t="str">
        <f>IF(B21="","",'Raw Data'!$F$2)</f>
        <v/>
      </c>
      <c r="C21" s="3" t="str">
        <f>IFERROR((COUNTIFS('Raw Data'!$I:$I, Metrics!$B21, 'Raw Data'!$B:$B, "Successful")/COUNTIF('Raw Data'!$I:$I, Metrics!$B21)),"")</f>
        <v/>
      </c>
      <c r="D21" s="3"/>
      <c r="E21" s="3" t="str">
        <f>IFERROR((COUNTIFS('Raw Data'!$I:$I, Metrics!$B21,'Raw Data'!$D:$D, "Lookup table queue not found in OEC")/COUNTIF('Raw Data'!$I:$I, Metrics!$B21)),"")</f>
        <v/>
      </c>
      <c r="F21" s="3" t="str">
        <f>IFERROR(COUNTIFS('Raw Data'!$I:$I,Metrics!$B21,'Raw Data'!$D:$D,"*Lookup table category not found in OEC*")/COUNTIF('Raw Data'!$I:$I,Metrics!$B21),"")</f>
        <v/>
      </c>
      <c r="G21" s="3" t="str">
        <f>IFERROR((COUNTIFS('Raw Data'!$I:$I, Metrics!$B21,'Raw Data'!$D:$D, "SR Status is already updated")/COUNTIF('Raw Data'!$I:$I, Metrics!$B21)),"")</f>
        <v/>
      </c>
      <c r="H21" s="3" t="str">
        <f>IFERROR((COUNTIFS('Raw Data'!$I:$I, Metrics!$B21,'Raw Data'!$D:$D, "*SR Failed to Update*")/COUNTIF('Raw Data'!$I:$I, Metrics!$B21)),"")</f>
        <v/>
      </c>
    </row>
    <row r="22" spans="1:8" x14ac:dyDescent="0.35">
      <c r="A22" s="4" t="str">
        <f>IF(B22="","",'Raw Data'!$F$2)</f>
        <v/>
      </c>
      <c r="C22" s="3" t="str">
        <f>IFERROR((COUNTIFS('Raw Data'!$I:$I, Metrics!$B22, 'Raw Data'!$B:$B, "Successful")/COUNTIF('Raw Data'!$I:$I, Metrics!$B22)),"")</f>
        <v/>
      </c>
      <c r="D22" s="3"/>
      <c r="E22" s="3" t="str">
        <f>IFERROR((COUNTIFS('Raw Data'!$I:$I, Metrics!$B22,'Raw Data'!$D:$D, "Lookup table queue not found in OEC")/COUNTIF('Raw Data'!$I:$I, Metrics!$B22)),"")</f>
        <v/>
      </c>
      <c r="F22" s="3" t="str">
        <f>IFERROR(COUNTIFS('Raw Data'!$I:$I,Metrics!$B22,'Raw Data'!$D:$D,"*Lookup table category not found in OEC*")/COUNTIF('Raw Data'!$I:$I,Metrics!$B22),"")</f>
        <v/>
      </c>
      <c r="G22" s="3" t="str">
        <f>IFERROR((COUNTIFS('Raw Data'!$I:$I, Metrics!$B22,'Raw Data'!$D:$D, "SR Status is already updated")/COUNTIF('Raw Data'!$I:$I, Metrics!$B22)),"")</f>
        <v/>
      </c>
      <c r="H22" s="3" t="str">
        <f>IFERROR((COUNTIFS('Raw Data'!$I:$I, Metrics!$B22,'Raw Data'!$D:$D, "*SR Failed to Update*")/COUNTIF('Raw Data'!$I:$I, Metrics!$B22)),"")</f>
        <v/>
      </c>
    </row>
    <row r="23" spans="1:8" x14ac:dyDescent="0.35">
      <c r="A23" s="4" t="str">
        <f>IF(B23="","",'Raw Data'!$F$2)</f>
        <v/>
      </c>
      <c r="C23" s="3" t="str">
        <f>IFERROR((COUNTIFS('Raw Data'!$I:$I, Metrics!$B23, 'Raw Data'!$B:$B, "Successful")/COUNTIF('Raw Data'!$I:$I, Metrics!$B23)),"")</f>
        <v/>
      </c>
      <c r="D23" s="3"/>
      <c r="E23" s="3" t="str">
        <f>IFERROR((COUNTIFS('Raw Data'!$I:$I, Metrics!$B23,'Raw Data'!$D:$D, "Lookup table queue not found in OEC")/COUNTIF('Raw Data'!$I:$I, Metrics!$B23)),"")</f>
        <v/>
      </c>
      <c r="F23" s="3" t="str">
        <f>IFERROR(COUNTIFS('Raw Data'!$I:$I,Metrics!$B23,'Raw Data'!$D:$D,"*Lookup table category not found in OEC*")/COUNTIF('Raw Data'!$I:$I,Metrics!$B23),"")</f>
        <v/>
      </c>
      <c r="G23" s="3" t="str">
        <f>IFERROR((COUNTIFS('Raw Data'!$I:$I, Metrics!$B23,'Raw Data'!$D:$D, "SR Status is already updated")/COUNTIF('Raw Data'!$I:$I, Metrics!$B23)),"")</f>
        <v/>
      </c>
      <c r="H23" s="3" t="str">
        <f>IFERROR((COUNTIFS('Raw Data'!$I:$I, Metrics!$B23,'Raw Data'!$D:$D, "*SR Failed to Update*")/COUNTIF('Raw Data'!$I:$I, Metrics!$B23)),"")</f>
        <v/>
      </c>
    </row>
    <row r="24" spans="1:8" x14ac:dyDescent="0.35">
      <c r="A24" s="4" t="str">
        <f>IF(B24="","",'Raw Data'!$F$2)</f>
        <v/>
      </c>
      <c r="C24" s="3" t="str">
        <f>IFERROR((COUNTIFS('Raw Data'!$I:$I, Metrics!$B24, 'Raw Data'!$B:$B, "Successful")/COUNTIF('Raw Data'!$I:$I, Metrics!$B24)),"")</f>
        <v/>
      </c>
      <c r="D24" s="3"/>
      <c r="E24" s="3" t="str">
        <f>IFERROR((COUNTIFS('Raw Data'!$I:$I, Metrics!$B24,'Raw Data'!$D:$D, "Lookup table queue not found in OEC")/COUNTIF('Raw Data'!$I:$I, Metrics!$B24)),"")</f>
        <v/>
      </c>
      <c r="F24" s="3" t="str">
        <f>IFERROR(COUNTIFS('Raw Data'!$I:$I,Metrics!$B24,'Raw Data'!$D:$D,"*Lookup table category not found in OEC*")/COUNTIF('Raw Data'!$I:$I,Metrics!$B24),"")</f>
        <v/>
      </c>
      <c r="G24" s="3" t="str">
        <f>IFERROR((COUNTIFS('Raw Data'!$I:$I, Metrics!$B24,'Raw Data'!$D:$D, "SR Status is already updated")/COUNTIF('Raw Data'!$I:$I, Metrics!$B24)),"")</f>
        <v/>
      </c>
      <c r="H24" s="3" t="str">
        <f>IFERROR((COUNTIFS('Raw Data'!$I:$I, Metrics!$B24,'Raw Data'!$D:$D, "*SR Failed to Update*")/COUNTIF('Raw Data'!$I:$I, Metrics!$B24)),"")</f>
        <v/>
      </c>
    </row>
    <row r="25" spans="1:8" x14ac:dyDescent="0.35">
      <c r="A25" s="4" t="str">
        <f>IF(B25="","",'Raw Data'!$F$2)</f>
        <v/>
      </c>
      <c r="C25" s="3" t="str">
        <f>IFERROR((COUNTIFS('Raw Data'!$I:$I, Metrics!$B25, 'Raw Data'!$B:$B, "Successful")/COUNTIF('Raw Data'!$I:$I, Metrics!$B25)),"")</f>
        <v/>
      </c>
      <c r="D25" s="3"/>
      <c r="E25" s="3" t="str">
        <f>IFERROR((COUNTIFS('Raw Data'!$I:$I, Metrics!$B25,'Raw Data'!$D:$D, "Lookup table queue not found in OEC")/COUNTIF('Raw Data'!$I:$I, Metrics!$B25)),"")</f>
        <v/>
      </c>
      <c r="F25" s="3" t="str">
        <f>IFERROR(COUNTIFS('Raw Data'!$I:$I,Metrics!$B25,'Raw Data'!$D:$D,"*Lookup table category not found in OEC*")/COUNTIF('Raw Data'!$I:$I,Metrics!$B25),"")</f>
        <v/>
      </c>
      <c r="G25" s="3" t="str">
        <f>IFERROR((COUNTIFS('Raw Data'!$I:$I, Metrics!$B25,'Raw Data'!$D:$D, "SR Status is already updated")/COUNTIF('Raw Data'!$I:$I, Metrics!$B25)),"")</f>
        <v/>
      </c>
      <c r="H25" s="3" t="str">
        <f>IFERROR((COUNTIFS('Raw Data'!$I:$I, Metrics!$B25,'Raw Data'!$D:$D, "*SR Failed to Update*")/COUNTIF('Raw Data'!$I:$I, Metrics!$B25)),"")</f>
        <v/>
      </c>
    </row>
    <row r="26" spans="1:8" x14ac:dyDescent="0.35">
      <c r="A26" s="4" t="str">
        <f>IF(B26="","",'Raw Data'!$F$2)</f>
        <v/>
      </c>
      <c r="C26" s="3" t="str">
        <f>IFERROR((COUNTIFS('Raw Data'!$I:$I, Metrics!$B26, 'Raw Data'!$B:$B, "Successful")/COUNTIF('Raw Data'!$I:$I, Metrics!$B26)),"")</f>
        <v/>
      </c>
      <c r="D26" s="3"/>
      <c r="E26" s="3" t="str">
        <f>IFERROR((COUNTIFS('Raw Data'!$I:$I, Metrics!$B26,'Raw Data'!$D:$D, "Lookup table queue not found in OEC")/COUNTIF('Raw Data'!$I:$I, Metrics!$B26)),"")</f>
        <v/>
      </c>
      <c r="F26" s="3" t="str">
        <f>IFERROR(COUNTIFS('Raw Data'!$I:$I,Metrics!$B26,'Raw Data'!$D:$D,"*Lookup table category not found in OEC*")/COUNTIF('Raw Data'!$I:$I,Metrics!$B26),"")</f>
        <v/>
      </c>
      <c r="G26" s="3" t="str">
        <f>IFERROR((COUNTIFS('Raw Data'!$I:$I, Metrics!$B26,'Raw Data'!$D:$D, "SR Status is already updated")/COUNTIF('Raw Data'!$I:$I, Metrics!$B26)),"")</f>
        <v/>
      </c>
      <c r="H26" s="3" t="str">
        <f>IFERROR((COUNTIFS('Raw Data'!$I:$I, Metrics!$B26,'Raw Data'!$D:$D, "*SR Failed to Update*")/COUNTIF('Raw Data'!$I:$I, Metrics!$B26)),"")</f>
        <v/>
      </c>
    </row>
    <row r="27" spans="1:8" x14ac:dyDescent="0.35">
      <c r="A27" s="4" t="str">
        <f>IF(B27="","",'Raw Data'!$F$2)</f>
        <v/>
      </c>
      <c r="C27" s="3" t="str">
        <f>IFERROR((COUNTIFS('Raw Data'!$I:$I, Metrics!$B27, 'Raw Data'!$B:$B, "Successful")/COUNTIF('Raw Data'!$I:$I, Metrics!$B27)),"")</f>
        <v/>
      </c>
      <c r="D27" s="3"/>
      <c r="E27" s="3" t="str">
        <f>IFERROR((COUNTIFS('Raw Data'!$I:$I, Metrics!$B27,'Raw Data'!$D:$D, "Lookup table queue not found in OEC")/COUNTIF('Raw Data'!$I:$I, Metrics!$B27)),"")</f>
        <v/>
      </c>
      <c r="F27" s="3" t="str">
        <f>IFERROR(COUNTIFS('Raw Data'!$I:$I,Metrics!$B27,'Raw Data'!$D:$D,"*Lookup table category not found in OEC*")/COUNTIF('Raw Data'!$I:$I,Metrics!$B27),"")</f>
        <v/>
      </c>
      <c r="G27" s="3" t="str">
        <f>IFERROR((COUNTIFS('Raw Data'!$I:$I, Metrics!$B27,'Raw Data'!$D:$D, "SR Status is already updated")/COUNTIF('Raw Data'!$I:$I, Metrics!$B27)),"")</f>
        <v/>
      </c>
      <c r="H27" s="3" t="str">
        <f>IFERROR((COUNTIFS('Raw Data'!$I:$I, Metrics!$B27,'Raw Data'!$D:$D, "*SR Failed to Update*")/COUNTIF('Raw Data'!$I:$I, Metrics!$B27)),"")</f>
        <v/>
      </c>
    </row>
    <row r="28" spans="1:8" x14ac:dyDescent="0.35">
      <c r="A28" s="4" t="str">
        <f>IF(B28="","",'Raw Data'!$F$2)</f>
        <v/>
      </c>
      <c r="C28" s="3" t="str">
        <f>IFERROR((COUNTIFS('Raw Data'!$I:$I, Metrics!$B28, 'Raw Data'!$B:$B, "Successful")/COUNTIF('Raw Data'!$I:$I, Metrics!$B28)),"")</f>
        <v/>
      </c>
      <c r="D28" s="3"/>
      <c r="E28" s="3" t="str">
        <f>IFERROR((COUNTIFS('Raw Data'!$I:$I, Metrics!$B28,'Raw Data'!$D:$D, "Lookup table queue not found in OEC")/COUNTIF('Raw Data'!$I:$I, Metrics!$B28)),"")</f>
        <v/>
      </c>
      <c r="F28" s="3" t="str">
        <f>IFERROR(COUNTIFS('Raw Data'!$I:$I,Metrics!$B28,'Raw Data'!$D:$D,"*Lookup table category not found in OEC*")/COUNTIF('Raw Data'!$I:$I,Metrics!$B28),"")</f>
        <v/>
      </c>
      <c r="G28" s="3" t="str">
        <f>IFERROR((COUNTIFS('Raw Data'!$I:$I, Metrics!$B28,'Raw Data'!$D:$D, "SR Status is already updated")/COUNTIF('Raw Data'!$I:$I, Metrics!$B28)),"")</f>
        <v/>
      </c>
      <c r="H28" s="3" t="str">
        <f>IFERROR((COUNTIFS('Raw Data'!$I:$I, Metrics!$B28,'Raw Data'!$D:$D, "*SR Failed to Update*")/COUNTIF('Raw Data'!$I:$I, Metrics!$B28)),"")</f>
        <v/>
      </c>
    </row>
    <row r="29" spans="1:8" x14ac:dyDescent="0.35">
      <c r="A29" s="4" t="str">
        <f>IF(B29="","",'Raw Data'!$F$2)</f>
        <v/>
      </c>
      <c r="C29" s="3" t="str">
        <f>IFERROR((COUNTIFS('Raw Data'!$I:$I, Metrics!$B29, 'Raw Data'!$B:$B, "Successful")/COUNTIF('Raw Data'!$I:$I, Metrics!$B29)),"")</f>
        <v/>
      </c>
      <c r="D29" s="3"/>
      <c r="E29" s="3" t="str">
        <f>IFERROR((COUNTIFS('Raw Data'!$I:$I, Metrics!$B29,'Raw Data'!$D:$D, "Lookup table queue not found in OEC")/COUNTIF('Raw Data'!$I:$I, Metrics!$B29)),"")</f>
        <v/>
      </c>
      <c r="F29" s="3" t="str">
        <f>IFERROR(COUNTIFS('Raw Data'!$I:$I,Metrics!$B29,'Raw Data'!$D:$D,"*Lookup table category not found in OEC*")/COUNTIF('Raw Data'!$I:$I,Metrics!$B29),"")</f>
        <v/>
      </c>
      <c r="G29" s="3" t="str">
        <f>IFERROR((COUNTIFS('Raw Data'!$I:$I, Metrics!$B29,'Raw Data'!$D:$D, "SR Status is already updated")/COUNTIF('Raw Data'!$I:$I, Metrics!$B29)),"")</f>
        <v/>
      </c>
      <c r="H29" s="3" t="str">
        <f>IFERROR((COUNTIFS('Raw Data'!$I:$I, Metrics!$B29,'Raw Data'!$D:$D, "*SR Failed to Update*")/COUNTIF('Raw Data'!$I:$I, Metrics!$B29)),"")</f>
        <v/>
      </c>
    </row>
    <row r="30" spans="1:8" x14ac:dyDescent="0.35">
      <c r="A30" s="4" t="str">
        <f>IF(B30="","",'Raw Data'!$F$2)</f>
        <v/>
      </c>
      <c r="C30" s="3" t="str">
        <f>IFERROR((COUNTIFS('Raw Data'!$I:$I, Metrics!$B30, 'Raw Data'!$B:$B, "Successful")/COUNTIF('Raw Data'!$I:$I, Metrics!$B30)),"")</f>
        <v/>
      </c>
      <c r="D30" s="3"/>
      <c r="E30" s="3" t="str">
        <f>IFERROR((COUNTIFS('Raw Data'!$I:$I, Metrics!$B30,'Raw Data'!$D:$D, "Lookup table queue not found in OEC")/COUNTIF('Raw Data'!$I:$I, Metrics!$B30)),"")</f>
        <v/>
      </c>
      <c r="F30" s="3" t="str">
        <f>IFERROR(COUNTIFS('Raw Data'!$I:$I,Metrics!$B30,'Raw Data'!$D:$D,"*Lookup table category not found in OEC*")/COUNTIF('Raw Data'!$I:$I,Metrics!$B30),"")</f>
        <v/>
      </c>
      <c r="G30" s="3" t="str">
        <f>IFERROR((COUNTIFS('Raw Data'!$I:$I, Metrics!$B30,'Raw Data'!$D:$D, "SR Status is already updated")/COUNTIF('Raw Data'!$I:$I, Metrics!$B30)),"")</f>
        <v/>
      </c>
      <c r="H30" s="3" t="str">
        <f>IFERROR((COUNTIFS('Raw Data'!$I:$I, Metrics!$B30,'Raw Data'!$D:$D, "*SR Failed to Update*")/COUNTIF('Raw Data'!$I:$I, Metrics!$B30)),"")</f>
        <v/>
      </c>
    </row>
    <row r="31" spans="1:8" x14ac:dyDescent="0.35">
      <c r="A31" s="4" t="str">
        <f>IF(B31="","",'Raw Data'!$F$2)</f>
        <v/>
      </c>
      <c r="C31" s="3" t="str">
        <f>IFERROR((COUNTIFS('Raw Data'!$I:$I, Metrics!$B31, 'Raw Data'!$B:$B, "Successful")/COUNTIF('Raw Data'!$I:$I, Metrics!$B31)),"")</f>
        <v/>
      </c>
      <c r="D31" s="3"/>
      <c r="E31" s="3" t="str">
        <f>IFERROR((COUNTIFS('Raw Data'!$I:$I, Metrics!$B31,'Raw Data'!$D:$D, "Lookup table queue not found in OEC")/COUNTIF('Raw Data'!$I:$I, Metrics!$B31)),"")</f>
        <v/>
      </c>
      <c r="F31" s="3" t="str">
        <f>IFERROR(COUNTIFS('Raw Data'!$I:$I,Metrics!$B31,'Raw Data'!$D:$D,"*Lookup table category not found in OEC*")/COUNTIF('Raw Data'!$I:$I,Metrics!$B31),"")</f>
        <v/>
      </c>
      <c r="G31" s="3" t="str">
        <f>IFERROR((COUNTIFS('Raw Data'!$I:$I, Metrics!$B31,'Raw Data'!$D:$D, "SR Status is already updated")/COUNTIF('Raw Data'!$I:$I, Metrics!$B31)),"")</f>
        <v/>
      </c>
      <c r="H31" s="3" t="str">
        <f>IFERROR((COUNTIFS('Raw Data'!$I:$I, Metrics!$B31,'Raw Data'!$D:$D, "*SR Failed to Update*")/COUNTIF('Raw Data'!$I:$I, Metrics!$B31)),"")</f>
        <v/>
      </c>
    </row>
    <row r="32" spans="1:8" x14ac:dyDescent="0.35">
      <c r="A32" s="4" t="str">
        <f>IF(B32="","",'Raw Data'!F32)</f>
        <v/>
      </c>
      <c r="C32" s="3" t="str">
        <f>IFERROR((COUNTIFS('Raw Data'!$I:$I, Metrics!$B32, 'Raw Data'!$B:$B, "Successful")/COUNTIF('Raw Data'!$I:$I, Metrics!$B32)),"")</f>
        <v/>
      </c>
      <c r="D32" s="3"/>
      <c r="E32" s="3" t="str">
        <f>IFERROR((COUNTIFS('Raw Data'!$I:$I, Metrics!$B32,'Raw Data'!$D:$D, "CategoryName is Null for the SR")/COUNTIF('Raw Data'!$I:$I, Metrics!$B32)),"")</f>
        <v/>
      </c>
      <c r="F32" s="3" t="str">
        <f>IFERROR(COUNTIFS('Raw Data'!$I:$I,Metrics!$B32,'Raw Data'!$D:$D,"*Lookup table category not found in OEC*")/COUNTIF('Raw Data'!$I:$I,Metrics!$B32),"")</f>
        <v/>
      </c>
      <c r="G32" s="3" t="str">
        <f>IFERROR((COUNTIFS('Raw Data'!$I:$I, Metrics!$B32,'Raw Data'!$D:$D, "SR Status is already updated")/COUNTIF('Raw Data'!$I:$I, Metrics!$B32)),"")</f>
        <v/>
      </c>
      <c r="H32" s="3" t="str">
        <f>IFERROR((COUNTIFS('Raw Data'!$I:$I, Metrics!$B32,'Raw Data'!$D:$D, "*SR Failed to Update*")/COUNTIF('Raw Data'!$I:$I, Metrics!$B32)),"")</f>
        <v/>
      </c>
    </row>
    <row r="33" spans="1:8" x14ac:dyDescent="0.35">
      <c r="A33" s="4" t="str">
        <f>IF(B33="","",'Raw Data'!F33)</f>
        <v/>
      </c>
      <c r="C33" s="3" t="str">
        <f>IFERROR((COUNTIFS('Raw Data'!$I:$I, Metrics!$B33, 'Raw Data'!$B:$B, "Successful")/COUNTIF('Raw Data'!$I:$I, Metrics!$B33)),"")</f>
        <v/>
      </c>
      <c r="D33" s="3"/>
      <c r="E33" s="3" t="str">
        <f>IFERROR((COUNTIFS('Raw Data'!$I:$I, Metrics!$B33,'Raw Data'!$D:$D, "CategoryName is Null for the SR")/COUNTIF('Raw Data'!$I:$I, Metrics!$B33)),"")</f>
        <v/>
      </c>
      <c r="F33" s="3" t="str">
        <f>IFERROR(COUNTIFS('Raw Data'!$I:$I,Metrics!$B33,'Raw Data'!$D:$D,"*Lookup table category not found in OEC*")/COUNTIF('Raw Data'!$I:$I,Metrics!$B33),"")</f>
        <v/>
      </c>
      <c r="G33" s="3" t="str">
        <f>IFERROR((COUNTIFS('Raw Data'!$I:$I, Metrics!$B33,'Raw Data'!$D:$D, "SR Status is already updated")/COUNTIF('Raw Data'!$I:$I, Metrics!$B33)),"")</f>
        <v/>
      </c>
      <c r="H33" s="3" t="str">
        <f>IFERROR((COUNTIFS('Raw Data'!$I:$I, Metrics!$B33,'Raw Data'!$D:$D, "*SR Failed to Update*")/COUNTIF('Raw Data'!$I:$I, Metrics!$B33)),"")</f>
        <v/>
      </c>
    </row>
    <row r="34" spans="1:8" x14ac:dyDescent="0.35">
      <c r="A34" s="4" t="str">
        <f>IF(B34="","",'Raw Data'!F34)</f>
        <v/>
      </c>
      <c r="C34" s="3" t="str">
        <f>IFERROR((COUNTIFS('Raw Data'!$I:$I, Metrics!$B34, 'Raw Data'!$B:$B, "Successful")/COUNTIF('Raw Data'!$I:$I, Metrics!$B34)),"")</f>
        <v/>
      </c>
      <c r="D34" s="3"/>
      <c r="E34" s="3" t="str">
        <f>IFERROR((COUNTIFS('Raw Data'!$I:$I, Metrics!$B34,'Raw Data'!$D:$D, "CategoryName is Null for the SR")/COUNTIF('Raw Data'!$I:$I, Metrics!$B34)),"")</f>
        <v/>
      </c>
      <c r="F34" s="3" t="str">
        <f>IFERROR(COUNTIFS('Raw Data'!$I:$I,Metrics!$B34,'Raw Data'!$D:$D,"*Lookup table category not found in OEC*")/COUNTIF('Raw Data'!$I:$I,Metrics!$B34),"")</f>
        <v/>
      </c>
      <c r="G34" s="3" t="str">
        <f>IFERROR((COUNTIFS('Raw Data'!$I:$I, Metrics!$B34,'Raw Data'!$D:$D, "SR Status is already updated")/COUNTIF('Raw Data'!$I:$I, Metrics!$B34)),"")</f>
        <v/>
      </c>
      <c r="H34" s="3" t="str">
        <f>IFERROR((COUNTIFS('Raw Data'!$I:$I, Metrics!$B34,'Raw Data'!$D:$D, "*SR Failed to Update*")/COUNTIF('Raw Data'!$I:$I, Metrics!$B34)),"")</f>
        <v/>
      </c>
    </row>
    <row r="35" spans="1:8" x14ac:dyDescent="0.35">
      <c r="A35" s="4" t="str">
        <f>IF(B35="","",'Raw Data'!F35)</f>
        <v/>
      </c>
      <c r="C35" s="3" t="str">
        <f>IFERROR((COUNTIFS('Raw Data'!$I:$I, Metrics!$B35, 'Raw Data'!$B:$B, "Successful")/COUNTIF('Raw Data'!$I:$I, Metrics!$B35)),"")</f>
        <v/>
      </c>
      <c r="D35" s="3"/>
      <c r="E35" s="3" t="str">
        <f>IFERROR((COUNTIFS('Raw Data'!$I:$I, Metrics!$B35,'Raw Data'!$D:$D, "CategoryName is Null for the SR")/COUNTIF('Raw Data'!$I:$I, Metrics!$B35)),"")</f>
        <v/>
      </c>
      <c r="F35" s="3" t="str">
        <f>IFERROR(COUNTIFS('Raw Data'!$I:$I,Metrics!$B35,'Raw Data'!$D:$D,"*Lookup table category not found in OEC*")/COUNTIF('Raw Data'!$I:$I,Metrics!$B35),"")</f>
        <v/>
      </c>
      <c r="G35" s="3" t="str">
        <f>IFERROR((COUNTIFS('Raw Data'!$I:$I, Metrics!$B35,'Raw Data'!$D:$D, "SR Status is already updated")/COUNTIF('Raw Data'!$I:$I, Metrics!$B35)),"")</f>
        <v/>
      </c>
      <c r="H35" s="3" t="str">
        <f>IFERROR((COUNTIFS('Raw Data'!$I:$I, Metrics!$B35,'Raw Data'!$D:$D, "*SR Failed to Update*")/COUNTIF('Raw Data'!$I:$I, Metrics!$B35)),"")</f>
        <v/>
      </c>
    </row>
    <row r="36" spans="1:8" x14ac:dyDescent="0.35">
      <c r="A36" s="4" t="str">
        <f>IF(B36="","",'Raw Data'!F36)</f>
        <v/>
      </c>
      <c r="C36" s="3" t="str">
        <f>IFERROR((COUNTIFS('Raw Data'!$I:$I, Metrics!$B36, 'Raw Data'!$B:$B, "Successful")/COUNTIF('Raw Data'!$I:$I, Metrics!$B36)),"")</f>
        <v/>
      </c>
      <c r="D36" s="3"/>
      <c r="E36" s="3" t="str">
        <f>IFERROR((COUNTIFS('Raw Data'!$I:$I, Metrics!$B36,'Raw Data'!$D:$D, "CategoryName is Null for the SR")/COUNTIF('Raw Data'!$I:$I, Metrics!$B36)),"")</f>
        <v/>
      </c>
      <c r="F36" s="3" t="str">
        <f>IFERROR(COUNTIFS('Raw Data'!$I:$I,Metrics!$B36,'Raw Data'!$D:$D,"*Lookup table category not found in OEC*")/COUNTIF('Raw Data'!$I:$I,Metrics!$B36),"")</f>
        <v/>
      </c>
      <c r="G36" s="3" t="str">
        <f>IFERROR((COUNTIFS('Raw Data'!$I:$I, Metrics!$B36,'Raw Data'!$D:$D, "SR Status is already updated")/COUNTIF('Raw Data'!$I:$I, Metrics!$B36)),"")</f>
        <v/>
      </c>
      <c r="H36" s="3" t="str">
        <f>IFERROR((COUNTIFS('Raw Data'!$I:$I, Metrics!$B36,'Raw Data'!$D:$D, "*SR Failed to Update*")/COUNTIF('Raw Data'!$I:$I, Metrics!$B36)),"")</f>
        <v/>
      </c>
    </row>
    <row r="37" spans="1:8" x14ac:dyDescent="0.35">
      <c r="A37" s="4" t="str">
        <f>IF(B37="","",'Raw Data'!F37)</f>
        <v/>
      </c>
      <c r="C37" s="3" t="str">
        <f>IFERROR((COUNTIFS('Raw Data'!$I:$I, Metrics!$B37, 'Raw Data'!$B:$B, "Successful")/COUNTIF('Raw Data'!$I:$I, Metrics!$B37)),"")</f>
        <v/>
      </c>
      <c r="D37" s="3"/>
      <c r="E37" s="3" t="str">
        <f>IFERROR((COUNTIFS('Raw Data'!$I:$I, Metrics!$B37,'Raw Data'!$D:$D, "CategoryName is Null for the SR")/COUNTIF('Raw Data'!$I:$I, Metrics!$B37)),"")</f>
        <v/>
      </c>
      <c r="F37" s="3" t="str">
        <f>IFERROR(COUNTIFS('Raw Data'!$I:$I,Metrics!$B37,'Raw Data'!$D:$D,"*Lookup table category not found in OEC*")/COUNTIF('Raw Data'!$I:$I,Metrics!$B37),"")</f>
        <v/>
      </c>
      <c r="G37" s="3" t="str">
        <f>IFERROR((COUNTIFS('Raw Data'!$I:$I, Metrics!$B37,'Raw Data'!$D:$D, "SR Status is already updated")/COUNTIF('Raw Data'!$I:$I, Metrics!$B37)),"")</f>
        <v/>
      </c>
      <c r="H37" s="3" t="str">
        <f>IFERROR((COUNTIFS('Raw Data'!$I:$I, Metrics!$B37,'Raw Data'!$D:$D, "*SR Failed to Update*")/COUNTIF('Raw Data'!$I:$I, Metrics!$B37)),"")</f>
        <v/>
      </c>
    </row>
    <row r="38" spans="1:8" x14ac:dyDescent="0.35">
      <c r="A38" s="4" t="str">
        <f>IF(B38="","",'Raw Data'!F38)</f>
        <v/>
      </c>
      <c r="C38" s="3" t="str">
        <f>IFERROR((COUNTIFS('Raw Data'!$I:$I, Metrics!$B38, 'Raw Data'!$B:$B, "Successful")/COUNTIF('Raw Data'!$I:$I, Metrics!$B38)),"")</f>
        <v/>
      </c>
      <c r="D38" s="3"/>
      <c r="E38" s="3" t="str">
        <f>IFERROR((COUNTIFS('Raw Data'!$I:$I, Metrics!$B38,'Raw Data'!$D:$D, "CategoryName is Null for the SR")/COUNTIF('Raw Data'!$I:$I, Metrics!$B38)),"")</f>
        <v/>
      </c>
      <c r="F38" s="3" t="str">
        <f>IFERROR(COUNTIFS('Raw Data'!$I:$I,Metrics!$B38,'Raw Data'!$D:$D,"*Lookup table category not found in OEC*")/COUNTIF('Raw Data'!$I:$I,Metrics!$B38),"")</f>
        <v/>
      </c>
      <c r="G38" s="3" t="str">
        <f>IFERROR((COUNTIFS('Raw Data'!$I:$I, Metrics!$B38,'Raw Data'!$D:$D, "SR Status is already updated")/COUNTIF('Raw Data'!$I:$I, Metrics!$B38)),"")</f>
        <v/>
      </c>
      <c r="H38" s="3" t="str">
        <f>IFERROR((COUNTIFS('Raw Data'!$I:$I, Metrics!$B38,'Raw Data'!$D:$D, "*SR Failed to Update*")/COUNTIF('Raw Data'!$I:$I, Metrics!$B38)),"")</f>
        <v/>
      </c>
    </row>
    <row r="39" spans="1:8" x14ac:dyDescent="0.35">
      <c r="A39" s="4" t="str">
        <f>IF(B39="","",'Raw Data'!F39)</f>
        <v/>
      </c>
      <c r="C39" s="3" t="str">
        <f>IFERROR((COUNTIFS('Raw Data'!$I:$I, Metrics!$B39, 'Raw Data'!$B:$B, "Successful")/COUNTIF('Raw Data'!$I:$I, Metrics!$B39)),"")</f>
        <v/>
      </c>
      <c r="D39" s="3"/>
      <c r="E39" s="3" t="str">
        <f>IFERROR((COUNTIFS('Raw Data'!$I:$I, Metrics!$B39,'Raw Data'!$D:$D, "CategoryName is Null for the SR")/COUNTIF('Raw Data'!$I:$I, Metrics!$B39)),"")</f>
        <v/>
      </c>
      <c r="F39" s="3" t="str">
        <f>IFERROR(COUNTIFS('Raw Data'!$I:$I,Metrics!$B39,'Raw Data'!$D:$D,"*Lookup table category not found in OEC*")/COUNTIF('Raw Data'!$I:$I,Metrics!$B39),"")</f>
        <v/>
      </c>
      <c r="G39" s="3" t="str">
        <f>IFERROR((COUNTIFS('Raw Data'!$I:$I, Metrics!$B39,'Raw Data'!$D:$D, "SR Status is already updated")/COUNTIF('Raw Data'!$I:$I, Metrics!$B39)),"")</f>
        <v/>
      </c>
      <c r="H39" s="3" t="str">
        <f>IFERROR((COUNTIFS('Raw Data'!$I:$I, Metrics!$B39,'Raw Data'!$D:$D, "*SR Failed to Update*")/COUNTIF('Raw Data'!$I:$I, Metrics!$B39)),"")</f>
        <v/>
      </c>
    </row>
    <row r="40" spans="1:8" x14ac:dyDescent="0.35">
      <c r="A40" s="4" t="str">
        <f>IF(B40="","",'Raw Data'!F40)</f>
        <v/>
      </c>
      <c r="C40" s="3" t="str">
        <f>IFERROR((COUNTIFS('Raw Data'!$I:$I, Metrics!$B40, 'Raw Data'!$B:$B, "Successful")/COUNTIF('Raw Data'!$I:$I, Metrics!$B40)),"")</f>
        <v/>
      </c>
      <c r="D40" s="3"/>
      <c r="E40" s="3" t="str">
        <f>IFERROR((COUNTIFS('Raw Data'!$I:$I, Metrics!$B40,'Raw Data'!$D:$D, "CategoryName is Null for the SR")/COUNTIF('Raw Data'!$I:$I, Metrics!$B40)),"")</f>
        <v/>
      </c>
      <c r="F40" s="3" t="str">
        <f>IFERROR(COUNTIFS('Raw Data'!$I:$I,Metrics!$B40,'Raw Data'!$D:$D,"*Lookup table category not found in OEC*")/COUNTIF('Raw Data'!$I:$I,Metrics!$B40),"")</f>
        <v/>
      </c>
      <c r="G40" s="3" t="str">
        <f>IFERROR((COUNTIFS('Raw Data'!$I:$I, Metrics!$B40,'Raw Data'!$D:$D, "SR Status is already updated")/COUNTIF('Raw Data'!$I:$I, Metrics!$B40)),"")</f>
        <v/>
      </c>
      <c r="H40" s="3" t="str">
        <f>IFERROR((COUNTIFS('Raw Data'!$I:$I, Metrics!$B40,'Raw Data'!$D:$D, "*SR Failed to Update*")/COUNTIF('Raw Data'!$I:$I, Metrics!$B40)),"")</f>
        <v/>
      </c>
    </row>
    <row r="41" spans="1:8" x14ac:dyDescent="0.35">
      <c r="A41" s="4" t="str">
        <f>IF(B41="","",'Raw Data'!F41)</f>
        <v/>
      </c>
      <c r="C41" s="3" t="str">
        <f>IFERROR((COUNTIFS('Raw Data'!$I:$I, Metrics!$B41, 'Raw Data'!$B:$B, "Successful")/COUNTIF('Raw Data'!$I:$I, Metrics!$B41)),"")</f>
        <v/>
      </c>
      <c r="D41" s="3"/>
      <c r="E41" s="3" t="str">
        <f>IFERROR((COUNTIFS('Raw Data'!$I:$I, Metrics!$B41,'Raw Data'!$D:$D, "CategoryName is Null for the SR")/COUNTIF('Raw Data'!$I:$I, Metrics!$B41)),"")</f>
        <v/>
      </c>
      <c r="F41" s="3" t="str">
        <f>IFERROR(COUNTIFS('Raw Data'!$I:$I,Metrics!$B41,'Raw Data'!$D:$D,"*Lookup table category not found in OEC*")/COUNTIF('Raw Data'!$I:$I,Metrics!$B41),"")</f>
        <v/>
      </c>
      <c r="G41" s="3" t="str">
        <f>IFERROR((COUNTIFS('Raw Data'!$I:$I, Metrics!$B41,'Raw Data'!$D:$D, "SR Status is already updated")/COUNTIF('Raw Data'!$I:$I, Metrics!$B41)),"")</f>
        <v/>
      </c>
      <c r="H41" s="3" t="str">
        <f>IFERROR((COUNTIFS('Raw Data'!$I:$I, Metrics!$B41,'Raw Data'!$D:$D, "*SR Failed to Update*")/COUNTIF('Raw Data'!$I:$I, Metrics!$B41)),"")</f>
        <v/>
      </c>
    </row>
    <row r="42" spans="1:8" x14ac:dyDescent="0.35">
      <c r="A42" s="4" t="str">
        <f>IF(B42="","",'Raw Data'!F42)</f>
        <v/>
      </c>
      <c r="C42" s="3" t="str">
        <f>IFERROR((COUNTIFS('Raw Data'!$I:$I, Metrics!$B42, 'Raw Data'!$B:$B, "Successful")/COUNTIF('Raw Data'!$I:$I, Metrics!$B42)),"")</f>
        <v/>
      </c>
      <c r="D42" s="3"/>
      <c r="E42" s="3" t="str">
        <f>IFERROR((COUNTIFS('Raw Data'!$I:$I, Metrics!$B42,'Raw Data'!$D:$D, "CategoryName is Null for the SR")/COUNTIF('Raw Data'!$I:$I, Metrics!$B42)),"")</f>
        <v/>
      </c>
      <c r="F42" s="3" t="str">
        <f>IFERROR(COUNTIFS('Raw Data'!$I:$I,Metrics!$B42,'Raw Data'!$D:$D,"*Lookup table category not found in OEC*")/COUNTIF('Raw Data'!$I:$I,Metrics!$B42),"")</f>
        <v/>
      </c>
      <c r="G42" s="3" t="str">
        <f>IFERROR((COUNTIFS('Raw Data'!$I:$I, Metrics!$B42,'Raw Data'!$D:$D, "SR Status is already updated")/COUNTIF('Raw Data'!$I:$I, Metrics!$B42)),"")</f>
        <v/>
      </c>
      <c r="H42" s="3" t="str">
        <f>IFERROR((COUNTIFS('Raw Data'!$I:$I, Metrics!$B42,'Raw Data'!$D:$D, "*SR Failed to Update*")/COUNTIF('Raw Data'!$I:$I, Metrics!$B42)),"")</f>
        <v/>
      </c>
    </row>
    <row r="43" spans="1:8" x14ac:dyDescent="0.35">
      <c r="A43" s="4" t="str">
        <f>IF(B43="","",'Raw Data'!F43)</f>
        <v/>
      </c>
      <c r="C43" s="3" t="str">
        <f>IFERROR((COUNTIFS('Raw Data'!$I:$I, Metrics!$B43, 'Raw Data'!$B:$B, "Successful")/COUNTIF('Raw Data'!$I:$I, Metrics!$B43)),"")</f>
        <v/>
      </c>
      <c r="D43" s="3"/>
      <c r="E43" s="3" t="str">
        <f>IFERROR((COUNTIFS('Raw Data'!$I:$I, Metrics!$B43,'Raw Data'!$D:$D, "CategoryName is Null for the SR")/COUNTIF('Raw Data'!$I:$I, Metrics!$B43)),"")</f>
        <v/>
      </c>
      <c r="F43" s="3" t="str">
        <f>IFERROR(COUNTIFS('Raw Data'!$I:$I,Metrics!$B43,'Raw Data'!$D:$D,"*Lookup table category not found in OEC*")/COUNTIF('Raw Data'!$I:$I,Metrics!$B43),"")</f>
        <v/>
      </c>
      <c r="G43" s="3" t="str">
        <f>IFERROR((COUNTIFS('Raw Data'!$I:$I, Metrics!$B43,'Raw Data'!$D:$D, "SR Status is already updated")/COUNTIF('Raw Data'!$I:$I, Metrics!$B43)),"")</f>
        <v/>
      </c>
      <c r="H43" s="3" t="str">
        <f>IFERROR((COUNTIFS('Raw Data'!$I:$I, Metrics!$B43,'Raw Data'!$D:$D, "*SR Failed to Update*")/COUNTIF('Raw Data'!$I:$I, Metrics!$B43)),"")</f>
        <v/>
      </c>
    </row>
    <row r="44" spans="1:8" x14ac:dyDescent="0.35">
      <c r="A44" s="4" t="str">
        <f>IF(B44="","",'Raw Data'!F44)</f>
        <v/>
      </c>
      <c r="C44" s="3" t="str">
        <f>IFERROR((COUNTIFS('Raw Data'!$I:$I, Metrics!$B44, 'Raw Data'!$B:$B, "Successful")/COUNTIF('Raw Data'!$I:$I, Metrics!$B44)),"")</f>
        <v/>
      </c>
      <c r="D44" s="3"/>
      <c r="E44" s="3" t="str">
        <f>IFERROR((COUNTIFS('Raw Data'!$I:$I, Metrics!$B44,'Raw Data'!$D:$D, "CategoryName is Null for the SR")/COUNTIF('Raw Data'!$I:$I, Metrics!$B44)),"")</f>
        <v/>
      </c>
      <c r="F44" s="3" t="str">
        <f>IFERROR(COUNTIFS('Raw Data'!$I:$I,Metrics!$B44,'Raw Data'!$D:$D,"*Lookup table category not found in OEC*")/COUNTIF('Raw Data'!$I:$I,Metrics!$B44),"")</f>
        <v/>
      </c>
      <c r="G44" s="3" t="str">
        <f>IFERROR((COUNTIFS('Raw Data'!$I:$I, Metrics!$B44,'Raw Data'!$D:$D, "SR Status is already updated")/COUNTIF('Raw Data'!$I:$I, Metrics!$B44)),"")</f>
        <v/>
      </c>
      <c r="H44" s="3" t="str">
        <f>IFERROR((COUNTIFS('Raw Data'!$I:$I, Metrics!$B44,'Raw Data'!$D:$D, "*SR Failed to Update*")/COUNTIF('Raw Data'!$I:$I, Metrics!$B44)),"")</f>
        <v/>
      </c>
    </row>
    <row r="45" spans="1:8" x14ac:dyDescent="0.35">
      <c r="A45" s="4" t="str">
        <f>IF(B45="","",'Raw Data'!F45)</f>
        <v/>
      </c>
      <c r="C45" s="3" t="str">
        <f>IFERROR((COUNTIFS('Raw Data'!$I:$I, Metrics!$B45, 'Raw Data'!$B:$B, "Successful")/COUNTIF('Raw Data'!$I:$I, Metrics!$B45)),"")</f>
        <v/>
      </c>
      <c r="D45" s="3"/>
      <c r="E45" s="3" t="str">
        <f>IFERROR((COUNTIFS('Raw Data'!$I:$I, Metrics!$B45,'Raw Data'!$D:$D, "CategoryName is Null for the SR")/COUNTIF('Raw Data'!$I:$I, Metrics!$B45)),"")</f>
        <v/>
      </c>
      <c r="F45" s="3" t="str">
        <f>IFERROR(COUNTIFS('Raw Data'!$I:$I,Metrics!$B45,'Raw Data'!$D:$D,"*Lookup table category not found in OEC*")/COUNTIF('Raw Data'!$I:$I,Metrics!$B45),"")</f>
        <v/>
      </c>
      <c r="G45" s="3" t="str">
        <f>IFERROR((COUNTIFS('Raw Data'!$I:$I, Metrics!$B45,'Raw Data'!$D:$D, "SR Status is already updated")/COUNTIF('Raw Data'!$I:$I, Metrics!$B45)),"")</f>
        <v/>
      </c>
      <c r="H45" s="3" t="str">
        <f>IFERROR((COUNTIFS('Raw Data'!$I:$I, Metrics!$B45,'Raw Data'!$D:$D, "*SR Failed to Update*")/COUNTIF('Raw Data'!$I:$I, Metrics!$B45)),"")</f>
        <v/>
      </c>
    </row>
    <row r="46" spans="1:8" x14ac:dyDescent="0.35">
      <c r="A46" s="4" t="str">
        <f>IF(B46="","",'Raw Data'!F46)</f>
        <v/>
      </c>
      <c r="C46" s="3" t="str">
        <f>IFERROR((COUNTIFS('Raw Data'!$I:$I, Metrics!$B46, 'Raw Data'!$B:$B, "Successful")/COUNTIF('Raw Data'!$I:$I, Metrics!$B46)),"")</f>
        <v/>
      </c>
      <c r="D46" s="3"/>
      <c r="E46" s="3" t="str">
        <f>IFERROR((COUNTIFS('Raw Data'!$I:$I, Metrics!$B46,'Raw Data'!$D:$D, "CategoryName is Null for the SR")/COUNTIF('Raw Data'!$I:$I, Metrics!$B46)),"")</f>
        <v/>
      </c>
      <c r="F46" s="3" t="str">
        <f>IFERROR(COUNTIFS('Raw Data'!$I:$I,Metrics!$B46,'Raw Data'!$D:$D,"*Lookup table category not found in OEC*")/COUNTIF('Raw Data'!$I:$I,Metrics!$B46),"")</f>
        <v/>
      </c>
      <c r="G46" s="3" t="str">
        <f>IFERROR((COUNTIFS('Raw Data'!$I:$I, Metrics!$B46,'Raw Data'!$D:$D, "SR Status is already updated")/COUNTIF('Raw Data'!$I:$I, Metrics!$B46)),"")</f>
        <v/>
      </c>
      <c r="H46" s="3" t="str">
        <f>IFERROR((COUNTIFS('Raw Data'!$I:$I, Metrics!$B46,'Raw Data'!$D:$D, "*SR Failed to Update*")/COUNTIF('Raw Data'!$I:$I, Metrics!$B46)),"")</f>
        <v/>
      </c>
    </row>
    <row r="47" spans="1:8" x14ac:dyDescent="0.35">
      <c r="A47" s="4" t="str">
        <f>IF(B47="","",'Raw Data'!F47)</f>
        <v/>
      </c>
      <c r="C47" s="3" t="str">
        <f>IFERROR((COUNTIFS('Raw Data'!$I:$I, Metrics!$B47, 'Raw Data'!$B:$B, "Successful")/COUNTIF('Raw Data'!$I:$I, Metrics!$B47)),"")</f>
        <v/>
      </c>
      <c r="D47" s="3"/>
      <c r="E47" s="3" t="str">
        <f>IFERROR((COUNTIFS('Raw Data'!$I:$I, Metrics!$B47,'Raw Data'!$D:$D, "CategoryName is Null for the SR")/COUNTIF('Raw Data'!$I:$I, Metrics!$B47)),"")</f>
        <v/>
      </c>
      <c r="F47" s="3" t="str">
        <f>IFERROR(COUNTIFS('Raw Data'!$I:$I,Metrics!$B47,'Raw Data'!$D:$D,"*Lookup table category not found in OEC*")/COUNTIF('Raw Data'!$I:$I,Metrics!$B47),"")</f>
        <v/>
      </c>
      <c r="G47" s="3" t="str">
        <f>IFERROR((COUNTIFS('Raw Data'!$I:$I, Metrics!$B47,'Raw Data'!$D:$D, "SR Status is already updated")/COUNTIF('Raw Data'!$I:$I, Metrics!$B47)),"")</f>
        <v/>
      </c>
      <c r="H47" s="3" t="str">
        <f>IFERROR((COUNTIFS('Raw Data'!$I:$I, Metrics!$B47,'Raw Data'!$D:$D, "*SR Failed to Update*")/COUNTIF('Raw Data'!$I:$I, Metrics!$B47)),"")</f>
        <v/>
      </c>
    </row>
    <row r="48" spans="1:8" x14ac:dyDescent="0.35">
      <c r="A48" s="4" t="str">
        <f>IF(B48="","",'Raw Data'!F48)</f>
        <v/>
      </c>
      <c r="C48" s="3" t="str">
        <f>IFERROR((COUNTIFS('Raw Data'!$I:$I, Metrics!$B48, 'Raw Data'!$B:$B, "Successful")/COUNTIF('Raw Data'!$I:$I, Metrics!$B48)),"")</f>
        <v/>
      </c>
      <c r="D48" s="3"/>
      <c r="E48" s="3" t="str">
        <f>IFERROR((COUNTIFS('Raw Data'!$I:$I, Metrics!$B48,'Raw Data'!$D:$D, "CategoryName is Null for the SR")/COUNTIF('Raw Data'!$I:$I, Metrics!$B48)),"")</f>
        <v/>
      </c>
      <c r="F48" s="3" t="str">
        <f>IFERROR(COUNTIFS('Raw Data'!$I:$I,Metrics!$B48,'Raw Data'!$D:$D,"*Lookup table category not found in OEC*")/COUNTIF('Raw Data'!$I:$I,Metrics!$B48),"")</f>
        <v/>
      </c>
      <c r="G48" s="3" t="str">
        <f>IFERROR((COUNTIFS('Raw Data'!$I:$I, Metrics!$B48,'Raw Data'!$D:$D, "SR Status is already updated")/COUNTIF('Raw Data'!$I:$I, Metrics!$B48)),"")</f>
        <v/>
      </c>
      <c r="H48" s="3" t="str">
        <f>IFERROR((COUNTIFS('Raw Data'!$I:$I, Metrics!$B48,'Raw Data'!$D:$D, "*SR Failed to Update*")/COUNTIF('Raw Data'!$I:$I, Metrics!$B48)),"")</f>
        <v/>
      </c>
    </row>
    <row r="49" spans="1:8" x14ac:dyDescent="0.35">
      <c r="A49" s="4" t="str">
        <f>IF(B49="","",'Raw Data'!F49)</f>
        <v/>
      </c>
      <c r="C49" s="3" t="str">
        <f>IFERROR((COUNTIFS('Raw Data'!$I:$I, Metrics!$B49, 'Raw Data'!$B:$B, "Successful")/COUNTIF('Raw Data'!$I:$I, Metrics!$B49)),"")</f>
        <v/>
      </c>
      <c r="D49" s="3"/>
      <c r="E49" s="3" t="str">
        <f>IFERROR((COUNTIFS('Raw Data'!$I:$I, Metrics!$B49,'Raw Data'!$D:$D, "CategoryName is Null for the SR")/COUNTIF('Raw Data'!$I:$I, Metrics!$B49)),"")</f>
        <v/>
      </c>
      <c r="F49" s="3" t="str">
        <f>IFERROR(COUNTIFS('Raw Data'!$I:$I,Metrics!$B49,'Raw Data'!$D:$D,"*Lookup table category not found in OEC*")/COUNTIF('Raw Data'!$I:$I,Metrics!$B49),"")</f>
        <v/>
      </c>
      <c r="G49" s="3" t="str">
        <f>IFERROR((COUNTIFS('Raw Data'!$I:$I, Metrics!$B49,'Raw Data'!$D:$D, "SR Status is already updated")/COUNTIF('Raw Data'!$I:$I, Metrics!$B49)),"")</f>
        <v/>
      </c>
      <c r="H49" s="3" t="str">
        <f>IFERROR((COUNTIFS('Raw Data'!$I:$I, Metrics!$B49,'Raw Data'!$D:$D, "*SR Failed to Update*")/COUNTIF('Raw Data'!$I:$I, Metrics!$B49)),"")</f>
        <v/>
      </c>
    </row>
    <row r="50" spans="1:8" x14ac:dyDescent="0.35">
      <c r="A50" s="4" t="str">
        <f>IF(B50="","",'Raw Data'!F50)</f>
        <v/>
      </c>
      <c r="C50" s="3" t="str">
        <f>IFERROR((COUNTIFS('Raw Data'!$I:$I, Metrics!$B50, 'Raw Data'!$B:$B, "Successful")/COUNTIF('Raw Data'!$I:$I, Metrics!$B50)),"")</f>
        <v/>
      </c>
      <c r="D50" s="3"/>
      <c r="E50" s="3" t="str">
        <f>IFERROR((COUNTIFS('Raw Data'!$I:$I, Metrics!$B50,'Raw Data'!$D:$D, "CategoryName is Null for the SR")/COUNTIF('Raw Data'!$I:$I, Metrics!$B50)),"")</f>
        <v/>
      </c>
      <c r="F50" s="3" t="str">
        <f>IFERROR(COUNTIFS('Raw Data'!$I:$I,Metrics!$B50,'Raw Data'!$D:$D,"*Lookup table category not found in OEC*")/COUNTIF('Raw Data'!$I:$I,Metrics!$B50),"")</f>
        <v/>
      </c>
      <c r="G50" s="3" t="str">
        <f>IFERROR((COUNTIFS('Raw Data'!$I:$I, Metrics!$B50,'Raw Data'!$D:$D, "SR Status is already updated")/COUNTIF('Raw Data'!$I:$I, Metrics!$B50)),"")</f>
        <v/>
      </c>
      <c r="H50" s="3" t="str">
        <f>IFERROR((COUNTIFS('Raw Data'!$I:$I, Metrics!$B50,'Raw Data'!$D:$D, "*SR Failed to Update*")/COUNTIF('Raw Data'!$I:$I, Metrics!$B50)),"")</f>
        <v/>
      </c>
    </row>
    <row r="51" spans="1:8" x14ac:dyDescent="0.35">
      <c r="A51" s="4" t="str">
        <f>IF(B51="","",'Raw Data'!F51)</f>
        <v/>
      </c>
      <c r="C51" s="3" t="str">
        <f>IFERROR((COUNTIFS('Raw Data'!$I:$I, Metrics!$B51, 'Raw Data'!$B:$B, "Successful")/COUNTIF('Raw Data'!$I:$I, Metrics!$B51)),"")</f>
        <v/>
      </c>
      <c r="D51" s="3"/>
      <c r="E51" s="3" t="str">
        <f>IFERROR((COUNTIFS('Raw Data'!$I:$I, Metrics!$B51,'Raw Data'!$D:$D, "CategoryName is Null for the SR")/COUNTIF('Raw Data'!$I:$I, Metrics!$B51)),"")</f>
        <v/>
      </c>
      <c r="F51" s="3" t="str">
        <f>IFERROR(COUNTIFS('Raw Data'!$I:$I,Metrics!$B51,'Raw Data'!$D:$D,"*Lookup table category not found in OEC*")/COUNTIF('Raw Data'!$I:$I,Metrics!$B51),"")</f>
        <v/>
      </c>
      <c r="G51" s="3" t="str">
        <f>IFERROR((COUNTIFS('Raw Data'!$I:$I, Metrics!$B51,'Raw Data'!$D:$D, "SR Status is already updated")/COUNTIF('Raw Data'!$I:$I, Metrics!$B51)),"")</f>
        <v/>
      </c>
      <c r="H51" s="3" t="str">
        <f>IFERROR((COUNTIFS('Raw Data'!$I:$I, Metrics!$B51,'Raw Data'!$D:$D, "*SR Failed to Update*")/COUNTIF('Raw Data'!$I:$I, Metrics!$B51)),"")</f>
        <v/>
      </c>
    </row>
    <row r="52" spans="1:8" x14ac:dyDescent="0.35">
      <c r="A52" s="4" t="str">
        <f>IF(B52="","",'Raw Data'!F52)</f>
        <v/>
      </c>
      <c r="C52" s="3" t="str">
        <f>IFERROR((COUNTIFS('Raw Data'!$I:$I, Metrics!$B52, 'Raw Data'!$B:$B, "Successful")/COUNTIF('Raw Data'!$I:$I, Metrics!$B52)),"")</f>
        <v/>
      </c>
      <c r="D52" s="3"/>
      <c r="E52" s="3" t="str">
        <f>IFERROR((COUNTIFS('Raw Data'!$I:$I, Metrics!$B52,'Raw Data'!$D:$D, "CategoryName is Null for the SR")/COUNTIF('Raw Data'!$I:$I, Metrics!$B52)),"")</f>
        <v/>
      </c>
      <c r="F52" s="3" t="str">
        <f>IFERROR(COUNTIFS('Raw Data'!$I:$I,Metrics!$B52,'Raw Data'!$D:$D,"*Lookup table category not found in OEC*")/COUNTIF('Raw Data'!$I:$I,Metrics!$B52),"")</f>
        <v/>
      </c>
      <c r="G52" s="3" t="str">
        <f>IFERROR((COUNTIFS('Raw Data'!$I:$I, Metrics!$B52,'Raw Data'!$D:$D, "SR Status is already updated")/COUNTIF('Raw Data'!$I:$I, Metrics!$B52)),"")</f>
        <v/>
      </c>
      <c r="H52" s="3" t="str">
        <f>IFERROR((COUNTIFS('Raw Data'!$I:$I, Metrics!$B52,'Raw Data'!$D:$D, "*SR Failed to Update*")/COUNTIF('Raw Data'!$I:$I, Metrics!$B52)),"")</f>
        <v/>
      </c>
    </row>
    <row r="53" spans="1:8" x14ac:dyDescent="0.35">
      <c r="A53" s="4" t="str">
        <f>IF(B53="","",'Raw Data'!F53)</f>
        <v/>
      </c>
      <c r="C53" s="3" t="str">
        <f>IFERROR((COUNTIFS('Raw Data'!$I:$I, Metrics!$B53, 'Raw Data'!$B:$B, "Successful")/COUNTIF('Raw Data'!$I:$I, Metrics!$B53)),"")</f>
        <v/>
      </c>
      <c r="D53" s="3"/>
      <c r="E53" s="3" t="str">
        <f>IFERROR((COUNTIFS('Raw Data'!$I:$I, Metrics!$B53,'Raw Data'!$D:$D, "CategoryName is Null for the SR")/COUNTIF('Raw Data'!$I:$I, Metrics!$B53)),"")</f>
        <v/>
      </c>
      <c r="F53" s="3" t="str">
        <f>IFERROR(COUNTIFS('Raw Data'!$I:$I,Metrics!$B53,'Raw Data'!$D:$D,"*Lookup table category not found in OEC*")/COUNTIF('Raw Data'!$I:$I,Metrics!$B53),"")</f>
        <v/>
      </c>
      <c r="G53" s="3" t="str">
        <f>IFERROR((COUNTIFS('Raw Data'!$I:$I, Metrics!$B53,'Raw Data'!$D:$D, "SR Status is already updated")/COUNTIF('Raw Data'!$I:$I, Metrics!$B53)),"")</f>
        <v/>
      </c>
      <c r="H53" s="3" t="str">
        <f>IFERROR((COUNTIFS('Raw Data'!$I:$I, Metrics!$B53,'Raw Data'!$D:$D, "*SR Failed to Update*")/COUNTIF('Raw Data'!$I:$I, Metrics!$B53)),"")</f>
        <v/>
      </c>
    </row>
    <row r="54" spans="1:8" x14ac:dyDescent="0.35">
      <c r="A54" s="4" t="str">
        <f>IF(B54="","",'Raw Data'!F54)</f>
        <v/>
      </c>
      <c r="C54" s="3" t="str">
        <f>IFERROR((COUNTIFS('Raw Data'!$I:$I, Metrics!$B54, 'Raw Data'!$B:$B, "Successful")/COUNTIF('Raw Data'!$I:$I, Metrics!$B54)),"")</f>
        <v/>
      </c>
      <c r="D54" s="3"/>
      <c r="E54" s="3" t="str">
        <f>IFERROR((COUNTIFS('Raw Data'!$I:$I, Metrics!$B54,'Raw Data'!$D:$D, "CategoryName is Null for the SR")/COUNTIF('Raw Data'!$I:$I, Metrics!$B54)),"")</f>
        <v/>
      </c>
      <c r="F54" s="3" t="str">
        <f>IFERROR(COUNTIFS('Raw Data'!$I:$I,Metrics!$B54,'Raw Data'!$D:$D,"*Lookup table category not found in OEC*")/COUNTIF('Raw Data'!$I:$I,Metrics!$B54),"")</f>
        <v/>
      </c>
      <c r="G54" s="3" t="str">
        <f>IFERROR((COUNTIFS('Raw Data'!$I:$I, Metrics!$B54,'Raw Data'!$D:$D, "SR Status is already updated")/COUNTIF('Raw Data'!$I:$I, Metrics!$B54)),"")</f>
        <v/>
      </c>
      <c r="H54" s="3" t="str">
        <f>IFERROR((COUNTIFS('Raw Data'!$I:$I, Metrics!$B54,'Raw Data'!$D:$D, "*SR Failed to Update*")/COUNTIF('Raw Data'!$I:$I, Metrics!$B54)),"")</f>
        <v/>
      </c>
    </row>
    <row r="55" spans="1:8" x14ac:dyDescent="0.35">
      <c r="A55" s="4" t="str">
        <f>IF(B55="","",'Raw Data'!F55)</f>
        <v/>
      </c>
      <c r="C55" s="3" t="str">
        <f>IFERROR((COUNTIFS('Raw Data'!$I:$I, Metrics!$B55, 'Raw Data'!$B:$B, "Successful")/COUNTIF('Raw Data'!$I:$I, Metrics!$B55)),"")</f>
        <v/>
      </c>
      <c r="D55" s="3"/>
      <c r="E55" s="3" t="str">
        <f>IFERROR((COUNTIFS('Raw Data'!$I:$I, Metrics!$B55,'Raw Data'!$D:$D, "CategoryName is Null for the SR")/COUNTIF('Raw Data'!$I:$I, Metrics!$B55)),"")</f>
        <v/>
      </c>
      <c r="F55" s="3" t="str">
        <f>IFERROR(COUNTIFS('Raw Data'!$I:$I,Metrics!$B55,'Raw Data'!$D:$D,"*Lookup table category not found in OEC*")/COUNTIF('Raw Data'!$I:$I,Metrics!$B55),"")</f>
        <v/>
      </c>
      <c r="G55" s="3" t="str">
        <f>IFERROR((COUNTIFS('Raw Data'!$I:$I, Metrics!$B55,'Raw Data'!$D:$D, "SR Status is already updated")/COUNTIF('Raw Data'!$I:$I, Metrics!$B55)),"")</f>
        <v/>
      </c>
      <c r="H55" s="3" t="str">
        <f>IFERROR((COUNTIFS('Raw Data'!$I:$I, Metrics!$B55,'Raw Data'!$D:$D, "*SR Failed to Update*")/COUNTIF('Raw Data'!$I:$I, Metrics!$B55)),"")</f>
        <v/>
      </c>
    </row>
    <row r="56" spans="1:8" x14ac:dyDescent="0.35">
      <c r="A56" s="4" t="str">
        <f>IF(B56="","",'Raw Data'!F56)</f>
        <v/>
      </c>
      <c r="C56" s="3" t="str">
        <f>IFERROR((COUNTIFS('Raw Data'!$I:$I, Metrics!$B56, 'Raw Data'!$B:$B, "Successful")/COUNTIF('Raw Data'!$I:$I, Metrics!$B56)),"")</f>
        <v/>
      </c>
      <c r="D56" s="3"/>
      <c r="E56" s="3" t="str">
        <f>IFERROR((COUNTIFS('Raw Data'!$I:$I, Metrics!$B56,'Raw Data'!$D:$D, "CategoryName is Null for the SR")/COUNTIF('Raw Data'!$I:$I, Metrics!$B56)),"")</f>
        <v/>
      </c>
      <c r="F56" s="3" t="str">
        <f>IFERROR(COUNTIFS('Raw Data'!$I:$I,Metrics!$B56,'Raw Data'!$D:$D,"*Lookup table category not found in OEC*")/COUNTIF('Raw Data'!$I:$I,Metrics!$B56),"")</f>
        <v/>
      </c>
      <c r="G56" s="3" t="str">
        <f>IFERROR((COUNTIFS('Raw Data'!$I:$I, Metrics!$B56,'Raw Data'!$D:$D, "SR Status is already updated")/COUNTIF('Raw Data'!$I:$I, Metrics!$B56)),"")</f>
        <v/>
      </c>
      <c r="H56" s="3" t="str">
        <f>IFERROR((COUNTIFS('Raw Data'!$I:$I, Metrics!$B56,'Raw Data'!$D:$D, "*SR Failed to Update*")/COUNTIF('Raw Data'!$I:$I, Metrics!$B56)),"")</f>
        <v/>
      </c>
    </row>
    <row r="57" spans="1:8" x14ac:dyDescent="0.35">
      <c r="A57" s="4" t="str">
        <f>IF(B57="","",'Raw Data'!F57)</f>
        <v/>
      </c>
      <c r="C57" s="3" t="str">
        <f>IFERROR((COUNTIFS('Raw Data'!$I:$I, Metrics!$B57, 'Raw Data'!$B:$B, "Successful")/COUNTIF('Raw Data'!$I:$I, Metrics!$B57)),"")</f>
        <v/>
      </c>
      <c r="D57" s="3"/>
      <c r="E57" s="3" t="str">
        <f>IFERROR((COUNTIFS('Raw Data'!$I:$I, Metrics!$B57,'Raw Data'!$D:$D, "CategoryName is Null for the SR")/COUNTIF('Raw Data'!$I:$I, Metrics!$B57)),"")</f>
        <v/>
      </c>
      <c r="F57" s="3" t="str">
        <f>IFERROR(COUNTIFS('Raw Data'!$I:$I,Metrics!$B57,'Raw Data'!$D:$D,"*Lookup table category not found in OEC*")/COUNTIF('Raw Data'!$I:$I,Metrics!$B57),"")</f>
        <v/>
      </c>
      <c r="G57" s="3" t="str">
        <f>IFERROR((COUNTIFS('Raw Data'!$I:$I, Metrics!$B57,'Raw Data'!$D:$D, "SR Status is already updated")/COUNTIF('Raw Data'!$I:$I, Metrics!$B57)),"")</f>
        <v/>
      </c>
      <c r="H57" s="3" t="str">
        <f>IFERROR((COUNTIFS('Raw Data'!$I:$I, Metrics!$B57,'Raw Data'!$D:$D, "*SR Failed to Update*")/COUNTIF('Raw Data'!$I:$I, Metrics!$B57)),"")</f>
        <v/>
      </c>
    </row>
    <row r="58" spans="1:8" x14ac:dyDescent="0.35">
      <c r="A58" s="4" t="str">
        <f>IF(B58="","",'Raw Data'!F58)</f>
        <v/>
      </c>
      <c r="C58" s="3" t="str">
        <f>IFERROR((COUNTIFS('Raw Data'!$I:$I, Metrics!$B58, 'Raw Data'!$B:$B, "Successful")/COUNTIF('Raw Data'!$I:$I, Metrics!$B58)),"")</f>
        <v/>
      </c>
      <c r="D58" s="3"/>
      <c r="E58" s="3" t="str">
        <f>IFERROR((COUNTIFS('Raw Data'!$I:$I, Metrics!$B58,'Raw Data'!$D:$D, "CategoryName is Null for the SR")/COUNTIF('Raw Data'!$I:$I, Metrics!$B58)),"")</f>
        <v/>
      </c>
      <c r="F58" s="3" t="str">
        <f>IFERROR(COUNTIFS('Raw Data'!$I:$I,Metrics!$B58,'Raw Data'!$D:$D,"*Lookup table category not found in OEC*")/COUNTIF('Raw Data'!$I:$I,Metrics!$B58),"")</f>
        <v/>
      </c>
      <c r="G58" s="3" t="str">
        <f>IFERROR((COUNTIFS('Raw Data'!$I:$I, Metrics!$B58,'Raw Data'!$D:$D, "SR Status is already updated")/COUNTIF('Raw Data'!$I:$I, Metrics!$B58)),"")</f>
        <v/>
      </c>
      <c r="H58" s="3" t="str">
        <f>IFERROR((COUNTIFS('Raw Data'!$I:$I, Metrics!$B58,'Raw Data'!$D:$D, "*SR Failed to Update*")/COUNTIF('Raw Data'!$I:$I, Metrics!$B58)),"")</f>
        <v/>
      </c>
    </row>
    <row r="59" spans="1:8" x14ac:dyDescent="0.35">
      <c r="A59" s="4" t="str">
        <f>IF(B59="","",'Raw Data'!F59)</f>
        <v/>
      </c>
      <c r="C59" s="3" t="str">
        <f>IFERROR((COUNTIFS('Raw Data'!$I:$I, Metrics!$B59, 'Raw Data'!$B:$B, "Successful")/COUNTIF('Raw Data'!$I:$I, Metrics!$B59)),"")</f>
        <v/>
      </c>
      <c r="D59" s="3"/>
      <c r="E59" s="3" t="str">
        <f>IFERROR((COUNTIFS('Raw Data'!$I:$I, Metrics!$B59,'Raw Data'!$D:$D, "CategoryName is Null for the SR")/COUNTIF('Raw Data'!$I:$I, Metrics!$B59)),"")</f>
        <v/>
      </c>
      <c r="F59" s="3" t="str">
        <f>IFERROR(COUNTIFS('Raw Data'!$I:$I,Metrics!$B59,'Raw Data'!$D:$D,"*Lookup table category not found in OEC*")/COUNTIF('Raw Data'!$I:$I,Metrics!$B59),"")</f>
        <v/>
      </c>
      <c r="G59" s="3" t="str">
        <f>IFERROR((COUNTIFS('Raw Data'!$I:$I, Metrics!$B59,'Raw Data'!$D:$D, "SR Status is already updated")/COUNTIF('Raw Data'!$I:$I, Metrics!$B59)),"")</f>
        <v/>
      </c>
      <c r="H59" s="3" t="str">
        <f>IFERROR((COUNTIFS('Raw Data'!$I:$I, Metrics!$B59,'Raw Data'!$D:$D, "*SR Failed to Update*")/COUNTIF('Raw Data'!$I:$I, Metrics!$B59)),"")</f>
        <v/>
      </c>
    </row>
    <row r="60" spans="1:8" x14ac:dyDescent="0.35">
      <c r="A60" s="4" t="str">
        <f>IF(B60="","",'Raw Data'!F60)</f>
        <v/>
      </c>
      <c r="C60" s="3" t="str">
        <f>IFERROR((COUNTIFS('Raw Data'!$I:$I, Metrics!$B60, 'Raw Data'!$B:$B, "Successful")/COUNTIF('Raw Data'!$I:$I, Metrics!$B60)),"")</f>
        <v/>
      </c>
      <c r="D60" s="3"/>
      <c r="E60" s="3" t="str">
        <f>IFERROR((COUNTIFS('Raw Data'!$I:$I, Metrics!$B60,'Raw Data'!$D:$D, "CategoryName is Null for the SR")/COUNTIF('Raw Data'!$I:$I, Metrics!$B60)),"")</f>
        <v/>
      </c>
      <c r="F60" s="3" t="str">
        <f>IFERROR(COUNTIFS('Raw Data'!$I:$I,Metrics!$B60,'Raw Data'!$D:$D,"*Lookup table category not found in OEC*")/COUNTIF('Raw Data'!$I:$I,Metrics!$B60),"")</f>
        <v/>
      </c>
      <c r="G60" s="3" t="str">
        <f>IFERROR((COUNTIFS('Raw Data'!$I:$I, Metrics!$B60,'Raw Data'!$D:$D, "SR Status is already updated")/COUNTIF('Raw Data'!$I:$I, Metrics!$B60)),"")</f>
        <v/>
      </c>
      <c r="H60" s="3" t="str">
        <f>IFERROR((COUNTIFS('Raw Data'!$I:$I, Metrics!$B60,'Raw Data'!$D:$D, "*SR Failed to Update*")/COUNTIF('Raw Data'!$I:$I, Metrics!$B60)),"")</f>
        <v/>
      </c>
    </row>
    <row r="61" spans="1:8" x14ac:dyDescent="0.35">
      <c r="A61" s="4" t="str">
        <f>IF(B61="","",'Raw Data'!F61)</f>
        <v/>
      </c>
      <c r="C61" s="3" t="str">
        <f>IFERROR((COUNTIFS('Raw Data'!$I:$I, Metrics!$B61, 'Raw Data'!$B:$B, "Successful")/COUNTIF('Raw Data'!$I:$I, Metrics!$B61)),"")</f>
        <v/>
      </c>
      <c r="D61" s="3"/>
      <c r="E61" s="3" t="str">
        <f>IFERROR((COUNTIFS('Raw Data'!$I:$I, Metrics!$B61,'Raw Data'!$D:$D, "CategoryName is Null for the SR")/COUNTIF('Raw Data'!$I:$I, Metrics!$B61)),"")</f>
        <v/>
      </c>
      <c r="F61" s="3" t="str">
        <f>IFERROR(COUNTIFS('Raw Data'!$I:$I,Metrics!$B61,'Raw Data'!$D:$D,"*Lookup table category not found in OEC*")/COUNTIF('Raw Data'!$I:$I,Metrics!$B61),"")</f>
        <v/>
      </c>
      <c r="G61" s="3" t="str">
        <f>IFERROR((COUNTIFS('Raw Data'!$I:$I, Metrics!$B61,'Raw Data'!$D:$D, "SR Status is already updated")/COUNTIF('Raw Data'!$I:$I, Metrics!$B61)),"")</f>
        <v/>
      </c>
      <c r="H61" s="3" t="str">
        <f>IFERROR((COUNTIFS('Raw Data'!$I:$I, Metrics!$B61,'Raw Data'!$D:$D, "*SR Failed to Update*")/COUNTIF('Raw Data'!$I:$I, Metrics!$B61)),"")</f>
        <v/>
      </c>
    </row>
    <row r="62" spans="1:8" x14ac:dyDescent="0.35">
      <c r="A62" s="4" t="str">
        <f>IF(B62="","",'Raw Data'!F62)</f>
        <v/>
      </c>
      <c r="C62" s="3" t="str">
        <f>IFERROR((COUNTIFS('Raw Data'!$I:$I, Metrics!$B62, 'Raw Data'!$B:$B, "Successful")/COUNTIF('Raw Data'!$I:$I, Metrics!$B62)),"")</f>
        <v/>
      </c>
      <c r="D62" s="3"/>
      <c r="E62" s="3" t="str">
        <f>IFERROR((COUNTIFS('Raw Data'!$I:$I, Metrics!$B62,'Raw Data'!$D:$D, "CategoryName is Null for the SR")/COUNTIF('Raw Data'!$I:$I, Metrics!$B62)),"")</f>
        <v/>
      </c>
      <c r="F62" s="3" t="str">
        <f>IFERROR(COUNTIFS('Raw Data'!$I:$I,Metrics!$B62,'Raw Data'!$D:$D,"*Lookup table category not found in OEC*")/COUNTIF('Raw Data'!$I:$I,Metrics!$B62),"")</f>
        <v/>
      </c>
      <c r="G62" s="3" t="str">
        <f>IFERROR((COUNTIFS('Raw Data'!$I:$I, Metrics!$B62,'Raw Data'!$D:$D, "SR Status is already updated")/COUNTIF('Raw Data'!$I:$I, Metrics!$B62)),"")</f>
        <v/>
      </c>
      <c r="H62" s="3" t="str">
        <f>IFERROR((COUNTIFS('Raw Data'!$I:$I, Metrics!$B62,'Raw Data'!$D:$D, "*SR Failed to Update*")/COUNTIF('Raw Data'!$I:$I, Metrics!$B62)),"")</f>
        <v/>
      </c>
    </row>
    <row r="63" spans="1:8" x14ac:dyDescent="0.35">
      <c r="A63" s="4" t="str">
        <f>IF(B63="","",'Raw Data'!F63)</f>
        <v/>
      </c>
      <c r="C63" s="3" t="str">
        <f>IFERROR((COUNTIFS('Raw Data'!$I:$I, Metrics!$B63, 'Raw Data'!$B:$B, "Successful")/COUNTIF('Raw Data'!$I:$I, Metrics!$B63)),"")</f>
        <v/>
      </c>
      <c r="D63" s="3"/>
      <c r="E63" s="3" t="str">
        <f>IFERROR((COUNTIFS('Raw Data'!$I:$I, Metrics!$B63,'Raw Data'!$D:$D, "CategoryName is Null for the SR")/COUNTIF('Raw Data'!$I:$I, Metrics!$B63)),"")</f>
        <v/>
      </c>
      <c r="F63" s="3" t="str">
        <f>IFERROR(COUNTIFS('Raw Data'!$I:$I,Metrics!$B63,'Raw Data'!$D:$D,"*Lookup table category not found in OEC*")/COUNTIF('Raw Data'!$I:$I,Metrics!$B63),"")</f>
        <v/>
      </c>
      <c r="G63" s="3" t="str">
        <f>IFERROR((COUNTIFS('Raw Data'!$I:$I, Metrics!$B63,'Raw Data'!$D:$D, "SR Status is already updated")/COUNTIF('Raw Data'!$I:$I, Metrics!$B63)),"")</f>
        <v/>
      </c>
      <c r="H63" s="3" t="str">
        <f>IFERROR((COUNTIFS('Raw Data'!$I:$I, Metrics!$B63,'Raw Data'!$D:$D, "*SR Failed to Update*")/COUNTIF('Raw Data'!$I:$I, Metrics!$B63)),"")</f>
        <v/>
      </c>
    </row>
    <row r="64" spans="1:8" x14ac:dyDescent="0.35">
      <c r="A64" s="4" t="str">
        <f>IF(B64="","",'Raw Data'!F64)</f>
        <v/>
      </c>
      <c r="C64" s="3" t="str">
        <f>IFERROR((COUNTIFS('Raw Data'!$I:$I, Metrics!$B64, 'Raw Data'!$B:$B, "Successful")/COUNTIF('Raw Data'!$I:$I, Metrics!$B64)),"")</f>
        <v/>
      </c>
      <c r="D64" s="3"/>
      <c r="E64" s="3" t="str">
        <f>IFERROR((COUNTIFS('Raw Data'!$I:$I, Metrics!$B64,'Raw Data'!$D:$D, "CategoryName is Null for the SR")/COUNTIF('Raw Data'!$I:$I, Metrics!$B64)),"")</f>
        <v/>
      </c>
      <c r="F64" s="3" t="str">
        <f>IFERROR(COUNTIFS('Raw Data'!$I:$I,Metrics!$B64,'Raw Data'!$D:$D,"*Lookup table category not found in OEC*")/COUNTIF('Raw Data'!$I:$I,Metrics!$B64),"")</f>
        <v/>
      </c>
      <c r="G64" s="3" t="str">
        <f>IFERROR((COUNTIFS('Raw Data'!$I:$I, Metrics!$B64,'Raw Data'!$D:$D, "SR Status is already updated")/COUNTIF('Raw Data'!$I:$I, Metrics!$B64)),"")</f>
        <v/>
      </c>
      <c r="H64" s="3" t="str">
        <f>IFERROR((COUNTIFS('Raw Data'!$I:$I, Metrics!$B64,'Raw Data'!$D:$D, "*SR Failed to Update*")/COUNTIF('Raw Data'!$I:$I, Metrics!$B64)),"")</f>
        <v/>
      </c>
    </row>
    <row r="65" spans="1:8" x14ac:dyDescent="0.35">
      <c r="A65" s="4" t="str">
        <f>IF(B65="","",'Raw Data'!F65)</f>
        <v/>
      </c>
      <c r="C65" s="3" t="str">
        <f>IFERROR((COUNTIFS('Raw Data'!$I:$I, Metrics!$B65, 'Raw Data'!$B:$B, "Successful")/COUNTIF('Raw Data'!$I:$I, Metrics!$B65)),"")</f>
        <v/>
      </c>
      <c r="D65" s="3"/>
      <c r="E65" s="3" t="str">
        <f>IFERROR((COUNTIFS('Raw Data'!$I:$I, Metrics!$B65,'Raw Data'!$D:$D, "CategoryName is Null for the SR")/COUNTIF('Raw Data'!$I:$I, Metrics!$B65)),"")</f>
        <v/>
      </c>
      <c r="F65" s="3" t="str">
        <f>IFERROR(COUNTIFS('Raw Data'!$I:$I,Metrics!$B65,'Raw Data'!$D:$D,"*Lookup table category not found in OEC*")/COUNTIF('Raw Data'!$I:$I,Metrics!$B65),"")</f>
        <v/>
      </c>
      <c r="G65" s="3" t="str">
        <f>IFERROR((COUNTIFS('Raw Data'!$I:$I, Metrics!$B65,'Raw Data'!$D:$D, "SR Status is already updated")/COUNTIF('Raw Data'!$I:$I, Metrics!$B65)),"")</f>
        <v/>
      </c>
      <c r="H65" s="3" t="str">
        <f>IFERROR((COUNTIFS('Raw Data'!$I:$I, Metrics!$B65,'Raw Data'!$D:$D, "*SR Failed to Update*")/COUNTIF('Raw Data'!$I:$I, Metrics!$B65)),"")</f>
        <v/>
      </c>
    </row>
    <row r="66" spans="1:8" x14ac:dyDescent="0.35">
      <c r="A66" s="4" t="str">
        <f>IF(B66="","",'Raw Data'!F66)</f>
        <v/>
      </c>
      <c r="C66" s="3" t="str">
        <f>IFERROR((COUNTIFS('Raw Data'!$I:$I, Metrics!$B66, 'Raw Data'!$B:$B, "Successful")/COUNTIF('Raw Data'!$I:$I, Metrics!$B66)),"")</f>
        <v/>
      </c>
      <c r="D66" s="3"/>
      <c r="E66" s="3" t="str">
        <f>IFERROR((COUNTIFS('Raw Data'!$I:$I, Metrics!$B66,'Raw Data'!$D:$D, "CategoryName is Null for the SR")/COUNTIF('Raw Data'!$I:$I, Metrics!$B66)),"")</f>
        <v/>
      </c>
      <c r="F66" s="3" t="str">
        <f>IFERROR(COUNTIFS('Raw Data'!$I:$I,Metrics!$B66,'Raw Data'!$D:$D,"*Lookup table category not found in OEC*")/COUNTIF('Raw Data'!$I:$I,Metrics!$B66),"")</f>
        <v/>
      </c>
      <c r="G66" s="3" t="str">
        <f>IFERROR((COUNTIFS('Raw Data'!$I:$I, Metrics!$B66,'Raw Data'!$D:$D, "SR Status is already updated")/COUNTIF('Raw Data'!$I:$I, Metrics!$B66)),"")</f>
        <v/>
      </c>
      <c r="H66" s="3" t="str">
        <f>IFERROR((COUNTIFS('Raw Data'!$I:$I, Metrics!$B66,'Raw Data'!$D:$D, "*SR Failed to Update*")/COUNTIF('Raw Data'!$I:$I, Metrics!$B66)),"")</f>
        <v/>
      </c>
    </row>
    <row r="67" spans="1:8" x14ac:dyDescent="0.35">
      <c r="A67" s="4" t="str">
        <f>IF(B67="","",'Raw Data'!F67)</f>
        <v/>
      </c>
      <c r="C67" s="3" t="str">
        <f>IFERROR((COUNTIFS('Raw Data'!$I:$I, Metrics!$B67, 'Raw Data'!$B:$B, "Successful")/COUNTIF('Raw Data'!$I:$I, Metrics!$B67)),"")</f>
        <v/>
      </c>
      <c r="D67" s="3"/>
      <c r="E67" s="3" t="str">
        <f>IFERROR((COUNTIFS('Raw Data'!$I:$I, Metrics!$B67,'Raw Data'!$D:$D, "CategoryName is Null for the SR")/COUNTIF('Raw Data'!$I:$I, Metrics!$B67)),"")</f>
        <v/>
      </c>
      <c r="F67" s="3" t="str">
        <f>IFERROR(COUNTIFS('Raw Data'!$I:$I,Metrics!$B67,'Raw Data'!$D:$D,"*Lookup table category not found in OEC*")/COUNTIF('Raw Data'!$I:$I,Metrics!$B67),"")</f>
        <v/>
      </c>
      <c r="G67" s="3" t="str">
        <f>IFERROR((COUNTIFS('Raw Data'!$I:$I, Metrics!$B67,'Raw Data'!$D:$D, "SR Status is already updated")/COUNTIF('Raw Data'!$I:$I, Metrics!$B67)),"")</f>
        <v/>
      </c>
      <c r="H67" s="3" t="str">
        <f>IFERROR((COUNTIFS('Raw Data'!$I:$I, Metrics!$B67,'Raw Data'!$D:$D, "*SR Failed to Update*")/COUNTIF('Raw Data'!$I:$I, Metrics!$B67)),"")</f>
        <v/>
      </c>
    </row>
    <row r="68" spans="1:8" x14ac:dyDescent="0.35">
      <c r="A68" s="4" t="str">
        <f>IF(B68="","",'Raw Data'!F68)</f>
        <v/>
      </c>
      <c r="C68" s="3" t="str">
        <f>IFERROR((COUNTIFS('Raw Data'!$I:$I, Metrics!$B68, 'Raw Data'!$B:$B, "Successful")/COUNTIF('Raw Data'!$I:$I, Metrics!$B68)),"")</f>
        <v/>
      </c>
      <c r="D68" s="3"/>
      <c r="E68" s="3" t="str">
        <f>IFERROR((COUNTIFS('Raw Data'!$I:$I, Metrics!$B68,'Raw Data'!$D:$D, "CategoryName is Null for the SR")/COUNTIF('Raw Data'!$I:$I, Metrics!$B68)),"")</f>
        <v/>
      </c>
      <c r="F68" s="3" t="str">
        <f>IFERROR(COUNTIFS('Raw Data'!$I:$I,Metrics!$B68,'Raw Data'!$D:$D,"*Lookup table category not found in OEC*")/COUNTIF('Raw Data'!$I:$I,Metrics!$B68),"")</f>
        <v/>
      </c>
      <c r="G68" s="3" t="str">
        <f>IFERROR((COUNTIFS('Raw Data'!$I:$I, Metrics!$B68,'Raw Data'!$D:$D, "SR Status is already updated")/COUNTIF('Raw Data'!$I:$I, Metrics!$B68)),"")</f>
        <v/>
      </c>
      <c r="H68" s="3" t="str">
        <f>IFERROR((COUNTIFS('Raw Data'!$I:$I, Metrics!$B68,'Raw Data'!$D:$D, "*SR Failed to Update*")/COUNTIF('Raw Data'!$I:$I, Metrics!$B68)),"")</f>
        <v/>
      </c>
    </row>
    <row r="69" spans="1:8" x14ac:dyDescent="0.35">
      <c r="A69" s="4" t="str">
        <f>IF(B69="","",'Raw Data'!F69)</f>
        <v/>
      </c>
      <c r="C69" s="3" t="str">
        <f>IFERROR((COUNTIFS('Raw Data'!$I:$I, Metrics!$B69, 'Raw Data'!$B:$B, "Successful")/COUNTIF('Raw Data'!$I:$I, Metrics!$B69)),"")</f>
        <v/>
      </c>
      <c r="D69" s="3"/>
      <c r="E69" s="3" t="str">
        <f>IFERROR((COUNTIFS('Raw Data'!$I:$I, Metrics!$B69,'Raw Data'!$D:$D, "CategoryName is Null for the SR")/COUNTIF('Raw Data'!$I:$I, Metrics!$B69)),"")</f>
        <v/>
      </c>
      <c r="F69" s="3" t="str">
        <f>IFERROR(COUNTIFS('Raw Data'!$I:$I,Metrics!$B69,'Raw Data'!$D:$D,"*Lookup table category not found in OEC*")/COUNTIF('Raw Data'!$I:$I,Metrics!$B69),"")</f>
        <v/>
      </c>
      <c r="G69" s="3" t="str">
        <f>IFERROR((COUNTIFS('Raw Data'!$I:$I, Metrics!$B69,'Raw Data'!$D:$D, "SR Status is already updated")/COUNTIF('Raw Data'!$I:$I, Metrics!$B69)),"")</f>
        <v/>
      </c>
      <c r="H69" s="3" t="str">
        <f>IFERROR((COUNTIFS('Raw Data'!$I:$I, Metrics!$B69,'Raw Data'!$D:$D, "*SR Failed to Update*")/COUNTIF('Raw Data'!$I:$I, Metrics!$B69)),"")</f>
        <v/>
      </c>
    </row>
    <row r="70" spans="1:8" x14ac:dyDescent="0.35">
      <c r="A70" s="4" t="str">
        <f>IF(B70="","",'Raw Data'!F70)</f>
        <v/>
      </c>
      <c r="C70" s="3" t="str">
        <f>IFERROR((COUNTIFS('Raw Data'!$I:$I, Metrics!$B70, 'Raw Data'!$B:$B, "Successful")/COUNTIF('Raw Data'!$I:$I, Metrics!$B70)),"")</f>
        <v/>
      </c>
      <c r="D70" s="3"/>
      <c r="E70" s="3" t="str">
        <f>IFERROR((COUNTIFS('Raw Data'!$I:$I, Metrics!$B70,'Raw Data'!$D:$D, "CategoryName is Null for the SR")/COUNTIF('Raw Data'!$I:$I, Metrics!$B70)),"")</f>
        <v/>
      </c>
      <c r="F70" s="3" t="str">
        <f>IFERROR(COUNTIFS('Raw Data'!$I:$I,Metrics!$B70,'Raw Data'!$D:$D,"*Lookup table category not found in OEC*")/COUNTIF('Raw Data'!$I:$I,Metrics!$B70),"")</f>
        <v/>
      </c>
      <c r="G70" s="3" t="str">
        <f>IFERROR((COUNTIFS('Raw Data'!$I:$I, Metrics!$B70,'Raw Data'!$D:$D, "SR Status is already updated")/COUNTIF('Raw Data'!$I:$I, Metrics!$B70)),"")</f>
        <v/>
      </c>
      <c r="H70" s="3" t="str">
        <f>IFERROR((COUNTIFS('Raw Data'!$I:$I, Metrics!$B70,'Raw Data'!$D:$D, "*SR Failed to Update*")/COUNTIF('Raw Data'!$I:$I, Metrics!$B70)),"")</f>
        <v/>
      </c>
    </row>
    <row r="71" spans="1:8" x14ac:dyDescent="0.35">
      <c r="A71" s="4" t="str">
        <f>IF(B71="","",'Raw Data'!F71)</f>
        <v/>
      </c>
      <c r="C71" s="3" t="str">
        <f>IFERROR((COUNTIFS('Raw Data'!$I:$I, Metrics!$B71, 'Raw Data'!$B:$B, "Successful")/COUNTIF('Raw Data'!$I:$I, Metrics!$B71)),"")</f>
        <v/>
      </c>
      <c r="D71" s="3"/>
      <c r="E71" s="3" t="str">
        <f>IFERROR((COUNTIFS('Raw Data'!$I:$I, Metrics!$B71,'Raw Data'!$D:$D, "CategoryName is Null for the SR")/COUNTIF('Raw Data'!$I:$I, Metrics!$B71)),"")</f>
        <v/>
      </c>
      <c r="F71" s="3" t="str">
        <f>IFERROR(COUNTIFS('Raw Data'!$I:$I,Metrics!$B71,'Raw Data'!$D:$D,"*Lookup table category not found in OEC*")/COUNTIF('Raw Data'!$I:$I,Metrics!$B71),"")</f>
        <v/>
      </c>
      <c r="G71" s="3" t="str">
        <f>IFERROR((COUNTIFS('Raw Data'!$I:$I, Metrics!$B71,'Raw Data'!$D:$D, "SR Status is already updated")/COUNTIF('Raw Data'!$I:$I, Metrics!$B71)),"")</f>
        <v/>
      </c>
      <c r="H71" s="3" t="str">
        <f>IFERROR((COUNTIFS('Raw Data'!$I:$I, Metrics!$B71,'Raw Data'!$D:$D, "*SR Failed to Update*")/COUNTIF('Raw Data'!$I:$I, Metrics!$B71)),"")</f>
        <v/>
      </c>
    </row>
    <row r="72" spans="1:8" x14ac:dyDescent="0.35">
      <c r="A72" s="4" t="str">
        <f>IF(B72="","",'Raw Data'!F72)</f>
        <v/>
      </c>
      <c r="C72" s="3" t="str">
        <f>IFERROR((COUNTIFS('Raw Data'!$I:$I, Metrics!$B72, 'Raw Data'!$B:$B, "Successful")/COUNTIF('Raw Data'!$I:$I, Metrics!$B72)),"")</f>
        <v/>
      </c>
      <c r="D72" s="3"/>
      <c r="E72" s="3" t="str">
        <f>IFERROR((COUNTIFS('Raw Data'!$I:$I, Metrics!$B72,'Raw Data'!$D:$D, "CategoryName is Null for the SR")/COUNTIF('Raw Data'!$I:$I, Metrics!$B72)),"")</f>
        <v/>
      </c>
      <c r="F72" s="3" t="str">
        <f>IFERROR(COUNTIFS('Raw Data'!$I:$I,Metrics!$B72,'Raw Data'!$D:$D,"*Lookup table category not found in OEC*")/COUNTIF('Raw Data'!$I:$I,Metrics!$B72),"")</f>
        <v/>
      </c>
      <c r="G72" s="3" t="str">
        <f>IFERROR((COUNTIFS('Raw Data'!$I:$I, Metrics!$B72,'Raw Data'!$D:$D, "SR Status is already updated")/COUNTIF('Raw Data'!$I:$I, Metrics!$B72)),"")</f>
        <v/>
      </c>
      <c r="H72" s="3" t="str">
        <f>IFERROR((COUNTIFS('Raw Data'!$I:$I, Metrics!$B72,'Raw Data'!$D:$D, "*SR Failed to Update*")/COUNTIF('Raw Data'!$I:$I, Metrics!$B72)),"")</f>
        <v/>
      </c>
    </row>
    <row r="73" spans="1:8" x14ac:dyDescent="0.35">
      <c r="A73" s="4" t="str">
        <f>IF(B73="","",'Raw Data'!F73)</f>
        <v/>
      </c>
      <c r="C73" s="3" t="str">
        <f>IFERROR((COUNTIFS('Raw Data'!$I:$I, Metrics!$B73, 'Raw Data'!$B:$B, "Successful")/COUNTIF('Raw Data'!$I:$I, Metrics!$B73)),"")</f>
        <v/>
      </c>
      <c r="D73" s="3"/>
      <c r="E73" s="3" t="str">
        <f>IFERROR((COUNTIFS('Raw Data'!$I:$I, Metrics!$B73,'Raw Data'!$D:$D, "CategoryName is Null for the SR")/COUNTIF('Raw Data'!$I:$I, Metrics!$B73)),"")</f>
        <v/>
      </c>
      <c r="F73" s="3" t="str">
        <f>IFERROR(COUNTIFS('Raw Data'!$I:$I,Metrics!$B73,'Raw Data'!$D:$D,"*Lookup table category not found in OEC*")/COUNTIF('Raw Data'!$I:$I,Metrics!$B73),"")</f>
        <v/>
      </c>
      <c r="G73" s="3" t="str">
        <f>IFERROR((COUNTIFS('Raw Data'!$I:$I, Metrics!$B73,'Raw Data'!$D:$D, "SR Status is already updated")/COUNTIF('Raw Data'!$I:$I, Metrics!$B73)),"")</f>
        <v/>
      </c>
      <c r="H73" s="3" t="str">
        <f>IFERROR((COUNTIFS('Raw Data'!$I:$I, Metrics!$B73,'Raw Data'!$D:$D, "*SR Failed to Update*")/COUNTIF('Raw Data'!$I:$I, Metrics!$B73)),"")</f>
        <v/>
      </c>
    </row>
    <row r="74" spans="1:8" x14ac:dyDescent="0.35">
      <c r="A74" s="4" t="str">
        <f>IF(B74="","",'Raw Data'!F74)</f>
        <v/>
      </c>
      <c r="C74" s="3" t="str">
        <f>IFERROR((COUNTIFS('Raw Data'!$I:$I, Metrics!$B74, 'Raw Data'!$B:$B, "Successful")/COUNTIF('Raw Data'!$I:$I, Metrics!$B74)),"")</f>
        <v/>
      </c>
      <c r="D74" s="3"/>
      <c r="E74" s="3" t="str">
        <f>IFERROR((COUNTIFS('Raw Data'!$I:$I, Metrics!$B74,'Raw Data'!$D:$D, "CategoryName is Null for the SR")/COUNTIF('Raw Data'!$I:$I, Metrics!$B74)),"")</f>
        <v/>
      </c>
      <c r="F74" s="3" t="str">
        <f>IFERROR(COUNTIFS('Raw Data'!$I:$I,Metrics!$B74,'Raw Data'!$D:$D,"*Lookup table category not found in OEC*")/COUNTIF('Raw Data'!$I:$I,Metrics!$B74),"")</f>
        <v/>
      </c>
      <c r="G74" s="3" t="str">
        <f>IFERROR((COUNTIFS('Raw Data'!$I:$I, Metrics!$B74,'Raw Data'!$D:$D, "SR Status is already updated")/COUNTIF('Raw Data'!$I:$I, Metrics!$B74)),"")</f>
        <v/>
      </c>
      <c r="H74" s="3" t="str">
        <f>IFERROR((COUNTIFS('Raw Data'!$I:$I, Metrics!$B74,'Raw Data'!$D:$D, "*SR Failed to Update*")/COUNTIF('Raw Data'!$I:$I, Metrics!$B74)),"")</f>
        <v/>
      </c>
    </row>
    <row r="75" spans="1:8" x14ac:dyDescent="0.35">
      <c r="A75" s="4" t="str">
        <f>IF(B75="","",'Raw Data'!F75)</f>
        <v/>
      </c>
      <c r="C75" s="3" t="str">
        <f>IFERROR((COUNTIFS('Raw Data'!$I:$I, Metrics!$B75, 'Raw Data'!$B:$B, "Successful")/COUNTIF('Raw Data'!$I:$I, Metrics!$B75)),"")</f>
        <v/>
      </c>
      <c r="D75" s="3"/>
      <c r="E75" s="3" t="str">
        <f>IFERROR((COUNTIFS('Raw Data'!$I:$I, Metrics!$B75,'Raw Data'!$D:$D, "CategoryName is Null for the SR")/COUNTIF('Raw Data'!$I:$I, Metrics!$B75)),"")</f>
        <v/>
      </c>
      <c r="F75" s="3" t="str">
        <f>IFERROR(COUNTIFS('Raw Data'!$I:$I,Metrics!$B75,'Raw Data'!$D:$D,"*Category name or queue name not found in lookup Sheet*")/COUNTIF('Raw Data'!$I:$I,Metrics!$B75),"")</f>
        <v/>
      </c>
      <c r="G75" s="3" t="str">
        <f>IFERROR((COUNTIFS('Raw Data'!$I:$I, Metrics!$B75,'Raw Data'!$D:$D, "SR Status is already updated")/COUNTIF('Raw Data'!$I:$I, Metrics!$B75)),"")</f>
        <v/>
      </c>
      <c r="H75" s="3" t="str">
        <f>IFERROR((COUNTIFS('Raw Data'!$I:$I, Metrics!$B75,'Raw Data'!$D:$D, "*SR Failed to Update*")/COUNTIF('Raw Data'!$I:$I, Metrics!$B75)),"")</f>
        <v/>
      </c>
    </row>
    <row r="76" spans="1:8" x14ac:dyDescent="0.35">
      <c r="A76" s="4" t="str">
        <f>IF(B76="","",'Raw Data'!F76)</f>
        <v/>
      </c>
      <c r="C76" s="3" t="str">
        <f>IFERROR((COUNTIFS('Raw Data'!$I:$I, Metrics!$B76, 'Raw Data'!$B:$B, "Successful")/COUNTIF('Raw Data'!$I:$I, Metrics!$B76)),"")</f>
        <v/>
      </c>
      <c r="D76" s="3"/>
      <c r="E76" s="3" t="str">
        <f>IFERROR((COUNTIFS('Raw Data'!$I:$I, Metrics!$B76,'Raw Data'!$D:$D, "CategoryName is Null for the SR")/COUNTIF('Raw Data'!$I:$I, Metrics!$B76)),"")</f>
        <v/>
      </c>
      <c r="F76" s="3" t="str">
        <f>IFERROR(COUNTIFS('Raw Data'!$I:$I,Metrics!$B76,'Raw Data'!$D:$D,"*Category name or queue name not found in lookup Sheet*")/COUNTIF('Raw Data'!$I:$I,Metrics!$B76),"")</f>
        <v/>
      </c>
      <c r="G76" s="3" t="str">
        <f>IFERROR((COUNTIFS('Raw Data'!$I:$I, Metrics!$B76,'Raw Data'!$D:$D, "SR Status is already updated")/COUNTIF('Raw Data'!$I:$I, Metrics!$B76)),"")</f>
        <v/>
      </c>
      <c r="H76" s="3" t="str">
        <f>IFERROR((COUNTIFS('Raw Data'!$I:$I, Metrics!$B76,'Raw Data'!$D:$D, "*SR Failed to Update*")/COUNTIF('Raw Data'!$I:$I, Metrics!$B76)),"")</f>
        <v/>
      </c>
    </row>
    <row r="77" spans="1:8" x14ac:dyDescent="0.35">
      <c r="A77" s="4" t="str">
        <f>IF(B77="","",'Raw Data'!F77)</f>
        <v/>
      </c>
      <c r="C77" s="3" t="str">
        <f>IFERROR((COUNTIFS('Raw Data'!$I:$I, Metrics!$B77, 'Raw Data'!$B:$B, "Successful")/COUNTIF('Raw Data'!$I:$I, Metrics!$B77)),"")</f>
        <v/>
      </c>
      <c r="D77" s="3"/>
      <c r="E77" s="3" t="str">
        <f>IFERROR((COUNTIFS('Raw Data'!$I:$I, Metrics!$B77,'Raw Data'!$D:$D, "CategoryName is Null for the SR")/COUNTIF('Raw Data'!$I:$I, Metrics!$B77)),"")</f>
        <v/>
      </c>
      <c r="F77" s="3" t="str">
        <f>IFERROR(COUNTIFS('Raw Data'!$I:$I,Metrics!$B77,'Raw Data'!$D:$D,"*Category name or queue name not found in lookup Sheet*")/COUNTIF('Raw Data'!$I:$I,Metrics!$B77),"")</f>
        <v/>
      </c>
      <c r="G77" s="3" t="str">
        <f>IFERROR((COUNTIFS('Raw Data'!$I:$I, Metrics!$B77,'Raw Data'!$D:$D, "SR Status is already updated")/COUNTIF('Raw Data'!$I:$I, Metrics!$B77)),"")</f>
        <v/>
      </c>
      <c r="H77" s="3" t="str">
        <f>IFERROR((COUNTIFS('Raw Data'!$I:$I, Metrics!$B77,'Raw Data'!$D:$D, "*SR Failed to Update*")/COUNTIF('Raw Data'!$I:$I, Metrics!$B77)),"")</f>
        <v/>
      </c>
    </row>
    <row r="78" spans="1:8" x14ac:dyDescent="0.35">
      <c r="A78" s="4" t="str">
        <f>IF(B78="","",'Raw Data'!F78)</f>
        <v/>
      </c>
      <c r="C78" s="3" t="str">
        <f>IFERROR((COUNTIFS('Raw Data'!$I:$I, Metrics!$B78, 'Raw Data'!$B:$B, "Successful")/COUNTIF('Raw Data'!$I:$I, Metrics!$B78)),"")</f>
        <v/>
      </c>
      <c r="D78" s="3"/>
      <c r="E78" s="3" t="str">
        <f>IFERROR((COUNTIFS('Raw Data'!$I:$I, Metrics!$B78,'Raw Data'!$D:$D, "CategoryName is Null for the SR")/COUNTIF('Raw Data'!$I:$I, Metrics!$B78)),"")</f>
        <v/>
      </c>
      <c r="F78" s="3" t="str">
        <f>IFERROR(COUNTIFS('Raw Data'!$I:$I,Metrics!$B78,'Raw Data'!$D:$D,"*Category name or queue name not found in lookup Sheet*")/COUNTIF('Raw Data'!$I:$I,Metrics!$B78),"")</f>
        <v/>
      </c>
      <c r="G78" s="3" t="str">
        <f>IFERROR((COUNTIFS('Raw Data'!$I:$I, Metrics!$B78,'Raw Data'!$D:$D, "SR Status is already updated")/COUNTIF('Raw Data'!$I:$I, Metrics!$B78)),"")</f>
        <v/>
      </c>
      <c r="H78" s="3" t="str">
        <f>IFERROR((COUNTIFS('Raw Data'!$I:$I, Metrics!$B78,'Raw Data'!$D:$D, "*SR Failed to Update*")/COUNTIF('Raw Data'!$I:$I, Metrics!$B78)),"")</f>
        <v/>
      </c>
    </row>
    <row r="79" spans="1:8" x14ac:dyDescent="0.35">
      <c r="A79" s="4" t="str">
        <f>IF(B79="","",'Raw Data'!F79)</f>
        <v/>
      </c>
      <c r="C79" s="3" t="str">
        <f>IFERROR((COUNTIFS('Raw Data'!$I:$I, Metrics!$B79, 'Raw Data'!$B:$B, "Successful")/COUNTIF('Raw Data'!$I:$I, Metrics!$B79)),"")</f>
        <v/>
      </c>
      <c r="D79" s="3"/>
      <c r="E79" s="3" t="str">
        <f>IFERROR((COUNTIFS('Raw Data'!$I:$I, Metrics!$B79,'Raw Data'!$D:$D, "CategoryName is Null for the SR")/COUNTIF('Raw Data'!$I:$I, Metrics!$B79)),"")</f>
        <v/>
      </c>
      <c r="F79" s="3" t="str">
        <f>IFERROR(COUNTIFS('Raw Data'!$I:$I,Metrics!$B79,'Raw Data'!$D:$D,"*Category name or queue name not found in lookup Sheet*")/COUNTIF('Raw Data'!$I:$I,Metrics!$B79),"")</f>
        <v/>
      </c>
      <c r="G79" s="3" t="str">
        <f>IFERROR((COUNTIFS('Raw Data'!$I:$I, Metrics!$B79,'Raw Data'!$D:$D, "SR Status is already updated")/COUNTIF('Raw Data'!$I:$I, Metrics!$B79)),"")</f>
        <v/>
      </c>
      <c r="H79" s="3" t="str">
        <f>IFERROR((COUNTIFS('Raw Data'!$I:$I, Metrics!$B79,'Raw Data'!$D:$D, "*SR Failed to Update*")/COUNTIF('Raw Data'!$I:$I, Metrics!$B79)),"")</f>
        <v/>
      </c>
    </row>
    <row r="80" spans="1:8" x14ac:dyDescent="0.35">
      <c r="A80" s="4" t="str">
        <f>IF(B80="","",'Raw Data'!F80)</f>
        <v/>
      </c>
      <c r="C80" s="3" t="str">
        <f>IFERROR((COUNTIFS('Raw Data'!$I:$I, Metrics!$B80, 'Raw Data'!$B:$B, "Successful")/COUNTIF('Raw Data'!$I:$I, Metrics!$B80)),"")</f>
        <v/>
      </c>
      <c r="D80" s="3"/>
      <c r="E80" s="3" t="str">
        <f>IFERROR((COUNTIFS('Raw Data'!$I:$I, Metrics!$B80,'Raw Data'!$D:$D, "CategoryName is Null for the SR")/COUNTIF('Raw Data'!$I:$I, Metrics!$B80)),"")</f>
        <v/>
      </c>
      <c r="F80" s="3" t="str">
        <f>IFERROR(COUNTIFS('Raw Data'!$I:$I,Metrics!$B80,'Raw Data'!$D:$D,"*Category name or queue name not found in lookup Sheet*")/COUNTIF('Raw Data'!$I:$I,Metrics!$B80),"")</f>
        <v/>
      </c>
      <c r="G80" s="3" t="str">
        <f>IFERROR((COUNTIFS('Raw Data'!$I:$I, Metrics!$B80,'Raw Data'!$D:$D, "SR Status is already updated")/COUNTIF('Raw Data'!$I:$I, Metrics!$B80)),"")</f>
        <v/>
      </c>
      <c r="H80" s="3" t="str">
        <f>IFERROR((COUNTIFS('Raw Data'!$I:$I, Metrics!$B80,'Raw Data'!$D:$D, "*SR Failed to Update*")/COUNTIF('Raw Data'!$I:$I, Metrics!$B80)),"")</f>
        <v/>
      </c>
    </row>
    <row r="81" spans="1:8" x14ac:dyDescent="0.35">
      <c r="A81" s="4" t="str">
        <f>IF(B81="","",'Raw Data'!F81)</f>
        <v/>
      </c>
      <c r="C81" s="3" t="str">
        <f>IFERROR((COUNTIFS('Raw Data'!$I:$I, Metrics!$B81, 'Raw Data'!$B:$B, "Successful")/COUNTIF('Raw Data'!$I:$I, Metrics!$B81)),"")</f>
        <v/>
      </c>
      <c r="D81" s="3"/>
      <c r="E81" s="3" t="str">
        <f>IFERROR((COUNTIFS('Raw Data'!$I:$I, Metrics!$B81,'Raw Data'!$D:$D, "CategoryName is Null for the SR")/COUNTIF('Raw Data'!$I:$I, Metrics!$B81)),"")</f>
        <v/>
      </c>
      <c r="F81" s="3" t="str">
        <f>IFERROR(COUNTIFS('Raw Data'!$I:$I,Metrics!$B81,'Raw Data'!$D:$D,"*Category name or queue name not found in lookup Sheet*")/COUNTIF('Raw Data'!$I:$I,Metrics!$B81),"")</f>
        <v/>
      </c>
      <c r="G81" s="3" t="str">
        <f>IFERROR((COUNTIFS('Raw Data'!$I:$I, Metrics!$B81,'Raw Data'!$D:$D, "SR Status is already updated")/COUNTIF('Raw Data'!$I:$I, Metrics!$B81)),"")</f>
        <v/>
      </c>
      <c r="H81" s="3" t="str">
        <f>IFERROR((COUNTIFS('Raw Data'!$I:$I, Metrics!$B81,'Raw Data'!$D:$D, "*SR Failed to Update*")/COUNTIF('Raw Data'!$I:$I, Metrics!$B81)),"")</f>
        <v/>
      </c>
    </row>
    <row r="82" spans="1:8" x14ac:dyDescent="0.35">
      <c r="A82" s="4" t="str">
        <f>IF(B82="","",'Raw Data'!F82)</f>
        <v/>
      </c>
      <c r="C82" s="3" t="str">
        <f>IFERROR((COUNTIFS('Raw Data'!$I:$I, Metrics!$B82, 'Raw Data'!$B:$B, "Successful")/COUNTIF('Raw Data'!$I:$I, Metrics!$B82)),"")</f>
        <v/>
      </c>
      <c r="D82" s="3"/>
      <c r="E82" s="3" t="str">
        <f>IFERROR((COUNTIFS('Raw Data'!$I:$I, Metrics!$B82,'Raw Data'!$D:$D, "CategoryName is Null for the SR")/COUNTIF('Raw Data'!$I:$I, Metrics!$B82)),"")</f>
        <v/>
      </c>
      <c r="F82" s="3" t="str">
        <f>IFERROR(COUNTIFS('Raw Data'!$I:$I,Metrics!$B82,'Raw Data'!$D:$D,"*Category name or queue name not found in lookup Sheet*")/COUNTIF('Raw Data'!$I:$I,Metrics!$B82),"")</f>
        <v/>
      </c>
      <c r="G82" s="3" t="str">
        <f>IFERROR((COUNTIFS('Raw Data'!$I:$I, Metrics!$B82,'Raw Data'!$D:$D, "SR Status is already updated")/COUNTIF('Raw Data'!$I:$I, Metrics!$B82)),"")</f>
        <v/>
      </c>
      <c r="H82" s="3" t="str">
        <f>IFERROR((COUNTIFS('Raw Data'!$I:$I, Metrics!$B82,'Raw Data'!$D:$D, "*SR Failed to Update*")/COUNTIF('Raw Data'!$I:$I, Metrics!$B82)),"")</f>
        <v/>
      </c>
    </row>
    <row r="83" spans="1:8" x14ac:dyDescent="0.35">
      <c r="A83" s="4" t="str">
        <f>IF(B83="","",'Raw Data'!F83)</f>
        <v/>
      </c>
      <c r="C83" s="3" t="str">
        <f>IFERROR((COUNTIFS('Raw Data'!$I:$I, Metrics!$B83, 'Raw Data'!$B:$B, "Successful")/COUNTIF('Raw Data'!$I:$I, Metrics!$B83)),"")</f>
        <v/>
      </c>
      <c r="D83" s="3"/>
      <c r="E83" s="3" t="str">
        <f>IFERROR((COUNTIFS('Raw Data'!$I:$I, Metrics!$B83,'Raw Data'!$D:$D, "CategoryName is Null for the SR")/COUNTIF('Raw Data'!$I:$I, Metrics!$B83)),"")</f>
        <v/>
      </c>
      <c r="F83" s="3" t="str">
        <f>IFERROR(COUNTIFS('Raw Data'!$I:$I,Metrics!$B83,'Raw Data'!$D:$D,"*Category name or queue name not found in lookup Sheet*")/COUNTIF('Raw Data'!$I:$I,Metrics!$B83),"")</f>
        <v/>
      </c>
      <c r="G83" s="3" t="str">
        <f>IFERROR((COUNTIFS('Raw Data'!$I:$I, Metrics!$B83,'Raw Data'!$D:$D, "SR Status is already updated")/COUNTIF('Raw Data'!$I:$I, Metrics!$B83)),"")</f>
        <v/>
      </c>
      <c r="H83" s="3" t="str">
        <f>IFERROR((COUNTIFS('Raw Data'!$I:$I, Metrics!$B83,'Raw Data'!$D:$D, "*SR Failed to Update*")/COUNTIF('Raw Data'!$I:$I, Metrics!$B83)),"")</f>
        <v/>
      </c>
    </row>
    <row r="84" spans="1:8" x14ac:dyDescent="0.35">
      <c r="A84" s="4" t="str">
        <f>IF(B84="","",'Raw Data'!F84)</f>
        <v/>
      </c>
      <c r="C84" s="3" t="str">
        <f>IFERROR((COUNTIFS('Raw Data'!$I:$I, Metrics!$B84, 'Raw Data'!$B:$B, "Successful")/COUNTIF('Raw Data'!$I:$I, Metrics!$B84)),"")</f>
        <v/>
      </c>
      <c r="D84" s="3"/>
      <c r="E84" s="3" t="str">
        <f>IFERROR((COUNTIFS('Raw Data'!$I:$I, Metrics!$B84,'Raw Data'!$D:$D, "CategoryName is Null for the SR")/COUNTIF('Raw Data'!$I:$I, Metrics!$B84)),"")</f>
        <v/>
      </c>
      <c r="F84" s="3" t="str">
        <f>IFERROR(COUNTIFS('Raw Data'!$I:$I,Metrics!$B84,'Raw Data'!$D:$D,"*Category name or queue name not found in lookup Sheet*")/COUNTIF('Raw Data'!$I:$I,Metrics!$B84),"")</f>
        <v/>
      </c>
      <c r="G84" s="3" t="str">
        <f>IFERROR((COUNTIFS('Raw Data'!$I:$I, Metrics!$B84,'Raw Data'!$D:$D, "SR Status is already updated")/COUNTIF('Raw Data'!$I:$I, Metrics!$B84)),"")</f>
        <v/>
      </c>
      <c r="H84" s="3" t="str">
        <f>IFERROR((COUNTIFS('Raw Data'!$I:$I, Metrics!$B84,'Raw Data'!$D:$D, "*SR Failed to Update*")/COUNTIF('Raw Data'!$I:$I, Metrics!$B84)),"")</f>
        <v/>
      </c>
    </row>
    <row r="85" spans="1:8" x14ac:dyDescent="0.35">
      <c r="A85" s="4" t="str">
        <f>IF(B85="","",'Raw Data'!F85)</f>
        <v/>
      </c>
      <c r="C85" s="3" t="str">
        <f>IFERROR((COUNTIFS('Raw Data'!$I:$I, Metrics!$B85, 'Raw Data'!$B:$B, "Successful")/COUNTIF('Raw Data'!$I:$I, Metrics!$B85)),"")</f>
        <v/>
      </c>
      <c r="D85" s="3"/>
      <c r="E85" s="3" t="str">
        <f>IFERROR((COUNTIFS('Raw Data'!$I:$I, Metrics!$B85,'Raw Data'!$D:$D, "CategoryName is Null for the SR")/COUNTIF('Raw Data'!$I:$I, Metrics!$B85)),"")</f>
        <v/>
      </c>
      <c r="F85" s="3" t="str">
        <f>IFERROR(COUNTIFS('Raw Data'!$I:$I,Metrics!$B85,'Raw Data'!$D:$D,"*Category name or queue name not found in lookup Sheet*")/COUNTIF('Raw Data'!$I:$I,Metrics!$B85),"")</f>
        <v/>
      </c>
      <c r="G85" s="3" t="str">
        <f>IFERROR((COUNTIFS('Raw Data'!$I:$I, Metrics!$B85,'Raw Data'!$D:$D, "SR Status is already updated")/COUNTIF('Raw Data'!$I:$I, Metrics!$B85)),"")</f>
        <v/>
      </c>
      <c r="H85" s="3" t="str">
        <f>IFERROR((COUNTIFS('Raw Data'!$I:$I, Metrics!$B85,'Raw Data'!$D:$D, "*SR Failed to Update*")/COUNTIF('Raw Data'!$I:$I, Metrics!$B85)),"")</f>
        <v/>
      </c>
    </row>
    <row r="86" spans="1:8" x14ac:dyDescent="0.35">
      <c r="A86" s="4" t="str">
        <f>IF(B86="","",'Raw Data'!F86)</f>
        <v/>
      </c>
      <c r="C86" s="3" t="str">
        <f>IFERROR((COUNTIFS('Raw Data'!$I:$I, Metrics!$B86, 'Raw Data'!$B:$B, "Successful")/COUNTIF('Raw Data'!$I:$I, Metrics!$B86)),"")</f>
        <v/>
      </c>
      <c r="D86" s="3"/>
      <c r="E86" s="3" t="str">
        <f>IFERROR((COUNTIFS('Raw Data'!$I:$I, Metrics!$B86,'Raw Data'!$D:$D, "CategoryName is Null for the SR")/COUNTIF('Raw Data'!$I:$I, Metrics!$B86)),"")</f>
        <v/>
      </c>
      <c r="F86" s="3" t="str">
        <f>IFERROR(COUNTIFS('Raw Data'!$I:$I,Metrics!$B86,'Raw Data'!$D:$D,"*Category name or queue name not found in lookup Sheet*")/COUNTIF('Raw Data'!$I:$I,Metrics!$B86),"")</f>
        <v/>
      </c>
      <c r="G86" s="3" t="str">
        <f>IFERROR((COUNTIFS('Raw Data'!$I:$I, Metrics!$B86,'Raw Data'!$D:$D, "SR Status is already updated")/COUNTIF('Raw Data'!$I:$I, Metrics!$B86)),"")</f>
        <v/>
      </c>
      <c r="H86" s="3" t="str">
        <f>IFERROR((COUNTIFS('Raw Data'!$I:$I, Metrics!$B86,'Raw Data'!$D:$D, "*SR Failed to Update*")/COUNTIF('Raw Data'!$I:$I, Metrics!$B86)),"")</f>
        <v/>
      </c>
    </row>
    <row r="87" spans="1:8" x14ac:dyDescent="0.35">
      <c r="A87" s="4" t="str">
        <f>IF(B87="","",'Raw Data'!F87)</f>
        <v/>
      </c>
      <c r="C87" s="3" t="str">
        <f>IFERROR((COUNTIFS('Raw Data'!$I:$I, Metrics!$B87, 'Raw Data'!$B:$B, "Successful")/COUNTIF('Raw Data'!$I:$I, Metrics!$B87)),"")</f>
        <v/>
      </c>
      <c r="D87" s="3"/>
      <c r="E87" s="3" t="str">
        <f>IFERROR((COUNTIFS('Raw Data'!$I:$I, Metrics!$B87,'Raw Data'!$D:$D, "CategoryName is Null for the SR")/COUNTIF('Raw Data'!$I:$I, Metrics!$B87)),"")</f>
        <v/>
      </c>
      <c r="F87" s="3" t="str">
        <f>IFERROR(COUNTIFS('Raw Data'!$I:$I,Metrics!$B87,'Raw Data'!$D:$D,"*Category name or queue name not found in lookup Sheet*")/COUNTIF('Raw Data'!$I:$I,Metrics!$B87),"")</f>
        <v/>
      </c>
      <c r="G87" s="3" t="str">
        <f>IFERROR((COUNTIFS('Raw Data'!$I:$I, Metrics!$B87,'Raw Data'!$D:$D, "SR Status is already updated")/COUNTIF('Raw Data'!$I:$I, Metrics!$B87)),"")</f>
        <v/>
      </c>
      <c r="H87" s="3" t="str">
        <f>IFERROR((COUNTIFS('Raw Data'!$I:$I, Metrics!$B87,'Raw Data'!$D:$D, "*SR Failed to Update*")/COUNTIF('Raw Data'!$I:$I, Metrics!$B87)),"")</f>
        <v/>
      </c>
    </row>
    <row r="88" spans="1:8" x14ac:dyDescent="0.35">
      <c r="A88" s="4" t="str">
        <f>IF(B88="","",'Raw Data'!F88)</f>
        <v/>
      </c>
      <c r="C88" s="3" t="str">
        <f>IFERROR((COUNTIFS('Raw Data'!$I:$I, Metrics!$B88, 'Raw Data'!$B:$B, "Successful")/COUNTIF('Raw Data'!$I:$I, Metrics!$B88)),"")</f>
        <v/>
      </c>
      <c r="D88" s="3"/>
      <c r="E88" s="3" t="str">
        <f>IFERROR((COUNTIFS('Raw Data'!$I:$I, Metrics!$B88,'Raw Data'!$D:$D, "CategoryName is Null for the SR")/COUNTIF('Raw Data'!$I:$I, Metrics!$B88)),"")</f>
        <v/>
      </c>
      <c r="F88" s="3" t="str">
        <f>IFERROR(COUNTIFS('Raw Data'!$I:$I,Metrics!$B88,'Raw Data'!$D:$D,"*Category name or queue name not found in lookup Sheet*")/COUNTIF('Raw Data'!$I:$I,Metrics!$B88),"")</f>
        <v/>
      </c>
      <c r="G88" s="3" t="str">
        <f>IFERROR((COUNTIFS('Raw Data'!$I:$I, Metrics!$B88,'Raw Data'!$D:$D, "SR Status is already updated")/COUNTIF('Raw Data'!$I:$I, Metrics!$B88)),"")</f>
        <v/>
      </c>
      <c r="H88" s="3" t="str">
        <f>IFERROR((COUNTIFS('Raw Data'!$I:$I, Metrics!$B88,'Raw Data'!$D:$D, "*SR Failed to Update*")/COUNTIF('Raw Data'!$I:$I, Metrics!$B88)),"")</f>
        <v/>
      </c>
    </row>
    <row r="89" spans="1:8" x14ac:dyDescent="0.35">
      <c r="A89" s="4" t="str">
        <f>IF(B89="","",'Raw Data'!F89)</f>
        <v/>
      </c>
      <c r="C89" s="3" t="str">
        <f>IFERROR((COUNTIFS('Raw Data'!$I:$I, Metrics!$B89, 'Raw Data'!$B:$B, "Successful")/COUNTIF('Raw Data'!$I:$I, Metrics!$B89)),"")</f>
        <v/>
      </c>
      <c r="D89" s="3"/>
      <c r="E89" s="3" t="str">
        <f>IFERROR((COUNTIFS('Raw Data'!$I:$I, Metrics!$B89,'Raw Data'!$D:$D, "CategoryName is Null for the SR")/COUNTIF('Raw Data'!$I:$I, Metrics!$B89)),"")</f>
        <v/>
      </c>
      <c r="F89" s="3" t="str">
        <f>IFERROR(COUNTIFS('Raw Data'!$I:$I,Metrics!$B89,'Raw Data'!$D:$D,"*Category name or queue name not found in lookup Sheet*")/COUNTIF('Raw Data'!$I:$I,Metrics!$B89),"")</f>
        <v/>
      </c>
      <c r="G89" s="3" t="str">
        <f>IFERROR((COUNTIFS('Raw Data'!$I:$I, Metrics!$B89,'Raw Data'!$D:$D, "SR Status is already updated")/COUNTIF('Raw Data'!$I:$I, Metrics!$B89)),"")</f>
        <v/>
      </c>
      <c r="H89" s="3" t="str">
        <f>IFERROR((COUNTIFS('Raw Data'!$I:$I, Metrics!$B89,'Raw Data'!$D:$D, "*SR Failed to Update*")/COUNTIF('Raw Data'!$I:$I, Metrics!$B89)),"")</f>
        <v/>
      </c>
    </row>
    <row r="90" spans="1:8" x14ac:dyDescent="0.35">
      <c r="A90" s="4" t="str">
        <f>IF(B90="","",'Raw Data'!F90)</f>
        <v/>
      </c>
      <c r="C90" s="3" t="str">
        <f>IFERROR((COUNTIFS('Raw Data'!$I:$I, Metrics!$B90, 'Raw Data'!$B:$B, "Successful")/COUNTIF('Raw Data'!$I:$I, Metrics!$B90)),"")</f>
        <v/>
      </c>
      <c r="D90" s="3"/>
      <c r="E90" s="3" t="str">
        <f>IFERROR((COUNTIFS('Raw Data'!$I:$I, Metrics!$B90,'Raw Data'!$D:$D, "CategoryName is Null for the SR")/COUNTIF('Raw Data'!$I:$I, Metrics!$B90)),"")</f>
        <v/>
      </c>
      <c r="F90" s="3" t="str">
        <f>IFERROR(COUNTIFS('Raw Data'!$I:$I,Metrics!$B90,'Raw Data'!$D:$D,"*Category name or queue name not found in lookup Sheet*")/COUNTIF('Raw Data'!$I:$I,Metrics!$B90),"")</f>
        <v/>
      </c>
      <c r="G90" s="3" t="str">
        <f>IFERROR((COUNTIFS('Raw Data'!$I:$I, Metrics!$B90,'Raw Data'!$D:$D, "SR Status is already updated")/COUNTIF('Raw Data'!$I:$I, Metrics!$B90)),"")</f>
        <v/>
      </c>
      <c r="H90" s="3" t="str">
        <f>IFERROR((COUNTIFS('Raw Data'!$I:$I, Metrics!$B90,'Raw Data'!$D:$D, "*SR Failed to Update*")/COUNTIF('Raw Data'!$I:$I, Metrics!$B90)),"")</f>
        <v/>
      </c>
    </row>
    <row r="91" spans="1:8" x14ac:dyDescent="0.35">
      <c r="A91" s="4" t="str">
        <f>IF(B91="","",'Raw Data'!F91)</f>
        <v/>
      </c>
      <c r="C91" s="3" t="str">
        <f>IFERROR((COUNTIFS('Raw Data'!$I:$I, Metrics!$B91, 'Raw Data'!$B:$B, "Successful")/COUNTIF('Raw Data'!$I:$I, Metrics!$B91)),"")</f>
        <v/>
      </c>
      <c r="D91" s="3"/>
      <c r="E91" s="3" t="str">
        <f>IFERROR((COUNTIFS('Raw Data'!$I:$I, Metrics!$B91,'Raw Data'!$D:$D, "CategoryName is Null for the SR")/COUNTIF('Raw Data'!$I:$I, Metrics!$B91)),"")</f>
        <v/>
      </c>
      <c r="F91" s="3" t="str">
        <f>IFERROR(COUNTIFS('Raw Data'!$I:$I,Metrics!$B91,'Raw Data'!$D:$D,"*Category name or queue name not found in lookup Sheet*")/COUNTIF('Raw Data'!$I:$I,Metrics!$B91),"")</f>
        <v/>
      </c>
      <c r="G91" s="3" t="str">
        <f>IFERROR((COUNTIFS('Raw Data'!$I:$I, Metrics!$B91,'Raw Data'!$D:$D, "SR Status is already updated")/COUNTIF('Raw Data'!$I:$I, Metrics!$B91)),"")</f>
        <v/>
      </c>
      <c r="H91" s="3" t="str">
        <f>IFERROR((COUNTIFS('Raw Data'!$I:$I, Metrics!$B91,'Raw Data'!$D:$D, "*SR Failed to Update*")/COUNTIF('Raw Data'!$I:$I, Metrics!$B91)),"")</f>
        <v/>
      </c>
    </row>
    <row r="92" spans="1:8" x14ac:dyDescent="0.35">
      <c r="A92" s="4" t="str">
        <f>IF(B92="","",'Raw Data'!F92)</f>
        <v/>
      </c>
      <c r="C92" s="3" t="str">
        <f>IFERROR((COUNTIFS('Raw Data'!$I:$I, Metrics!$B92, 'Raw Data'!$B:$B, "Successful")/COUNTIF('Raw Data'!$I:$I, Metrics!$B92)),"")</f>
        <v/>
      </c>
      <c r="D92" s="3"/>
      <c r="E92" s="3" t="str">
        <f>IFERROR((COUNTIFS('Raw Data'!$I:$I, Metrics!$B92,'Raw Data'!$D:$D, "CategoryName is Null for the SR")/COUNTIF('Raw Data'!$I:$I, Metrics!$B92)),"")</f>
        <v/>
      </c>
      <c r="F92" s="3" t="str">
        <f>IFERROR(COUNTIFS('Raw Data'!$I:$I,Metrics!$B92,'Raw Data'!$D:$D,"*Category name or queue name not found in lookup Sheet*")/COUNTIF('Raw Data'!$I:$I,Metrics!$B92),"")</f>
        <v/>
      </c>
      <c r="G92" s="3" t="str">
        <f>IFERROR((COUNTIFS('Raw Data'!$I:$I, Metrics!$B92,'Raw Data'!$D:$D, "SR Status is already updated")/COUNTIF('Raw Data'!$I:$I, Metrics!$B92)),"")</f>
        <v/>
      </c>
      <c r="H92" s="3" t="str">
        <f>IFERROR((COUNTIFS('Raw Data'!$I:$I, Metrics!$B92,'Raw Data'!$D:$D, "*SR Failed to Update*")/COUNTIF('Raw Data'!$I:$I, Metrics!$B92)),"")</f>
        <v/>
      </c>
    </row>
    <row r="93" spans="1:8" x14ac:dyDescent="0.35">
      <c r="A93" s="4" t="str">
        <f>IF(B93="","",'Raw Data'!F93)</f>
        <v/>
      </c>
      <c r="C93" s="3" t="str">
        <f>IFERROR((COUNTIFS('Raw Data'!$I:$I, Metrics!$B93, 'Raw Data'!$B:$B, "Successful")/COUNTIF('Raw Data'!$I:$I, Metrics!$B93)),"")</f>
        <v/>
      </c>
      <c r="D93" s="3"/>
      <c r="E93" s="3" t="str">
        <f>IFERROR((COUNTIFS('Raw Data'!$I:$I, Metrics!$B93,'Raw Data'!$D:$D, "CategoryName is Null for the SR")/COUNTIF('Raw Data'!$I:$I, Metrics!$B93)),"")</f>
        <v/>
      </c>
      <c r="F93" s="3" t="str">
        <f>IFERROR(COUNTIFS('Raw Data'!$I:$I,Metrics!$B93,'Raw Data'!$D:$D,"*Category name or queue name not found in lookup Sheet*")/COUNTIF('Raw Data'!$I:$I,Metrics!$B93),"")</f>
        <v/>
      </c>
      <c r="G93" s="3" t="str">
        <f>IFERROR((COUNTIFS('Raw Data'!$I:$I, Metrics!$B93,'Raw Data'!$D:$D, "SR Status is already updated")/COUNTIF('Raw Data'!$I:$I, Metrics!$B93)),"")</f>
        <v/>
      </c>
      <c r="H93" s="3" t="str">
        <f>IFERROR((COUNTIFS('Raw Data'!$I:$I, Metrics!$B93,'Raw Data'!$D:$D, "*SR Failed to Update*")/COUNTIF('Raw Data'!$I:$I, Metrics!$B93)),"")</f>
        <v/>
      </c>
    </row>
    <row r="94" spans="1:8" x14ac:dyDescent="0.35">
      <c r="A94" s="4" t="str">
        <f>IF(B94="","",'Raw Data'!F94)</f>
        <v/>
      </c>
      <c r="C94" s="3" t="str">
        <f>IFERROR((COUNTIFS('Raw Data'!$I:$I, Metrics!$B94, 'Raw Data'!$B:$B, "Successful")/COUNTIF('Raw Data'!$I:$I, Metrics!$B94)),"")</f>
        <v/>
      </c>
      <c r="D94" s="3"/>
      <c r="E94" s="3" t="str">
        <f>IFERROR((COUNTIFS('Raw Data'!$I:$I, Metrics!$B94,'Raw Data'!$D:$D, "CategoryName is Null for the SR")/COUNTIF('Raw Data'!$I:$I, Metrics!$B94)),"")</f>
        <v/>
      </c>
      <c r="F94" s="3" t="str">
        <f>IFERROR(COUNTIFS('Raw Data'!$I:$I,Metrics!$B94,'Raw Data'!$D:$D,"*Category name or queue name not found in lookup Sheet*")/COUNTIF('Raw Data'!$I:$I,Metrics!$B94),"")</f>
        <v/>
      </c>
      <c r="G94" s="3" t="str">
        <f>IFERROR((COUNTIFS('Raw Data'!$I:$I, Metrics!$B94,'Raw Data'!$D:$D, "SR Status is already updated")/COUNTIF('Raw Data'!$I:$I, Metrics!$B94)),"")</f>
        <v/>
      </c>
      <c r="H94" s="3" t="str">
        <f>IFERROR((COUNTIFS('Raw Data'!$I:$I, Metrics!$B94,'Raw Data'!$D:$D, "*SR Failed to Update*")/COUNTIF('Raw Data'!$I:$I, Metrics!$B94)),"")</f>
        <v/>
      </c>
    </row>
    <row r="95" spans="1:8" x14ac:dyDescent="0.35">
      <c r="A95" s="4" t="str">
        <f>IF(B95="","",'Raw Data'!F95)</f>
        <v/>
      </c>
      <c r="C95" s="3" t="str">
        <f>IFERROR((COUNTIFS('Raw Data'!$I:$I, Metrics!$B95, 'Raw Data'!$B:$B, "Successful")/COUNTIF('Raw Data'!$I:$I, Metrics!$B95)),"")</f>
        <v/>
      </c>
      <c r="D95" s="3"/>
      <c r="E95" s="3" t="str">
        <f>IFERROR((COUNTIFS('Raw Data'!$I:$I, Metrics!$B95,'Raw Data'!$D:$D, "CategoryName is Null for the SR")/COUNTIF('Raw Data'!$I:$I, Metrics!$B95)),"")</f>
        <v/>
      </c>
      <c r="F95" s="3" t="str">
        <f>IFERROR(COUNTIFS('Raw Data'!$I:$I,Metrics!$B95,'Raw Data'!$D:$D,"*Category name or queue name not found in lookup Sheet*")/COUNTIF('Raw Data'!$I:$I,Metrics!$B95),"")</f>
        <v/>
      </c>
      <c r="G95" s="3" t="str">
        <f>IFERROR((COUNTIFS('Raw Data'!$I:$I, Metrics!$B95,'Raw Data'!$D:$D, "SR Status is already updated")/COUNTIF('Raw Data'!$I:$I, Metrics!$B95)),"")</f>
        <v/>
      </c>
      <c r="H95" s="3" t="str">
        <f>IFERROR((COUNTIFS('Raw Data'!$I:$I, Metrics!$B95,'Raw Data'!$D:$D, "*SR Failed to Update*")/COUNTIF('Raw Data'!$I:$I, Metrics!$B95)),"")</f>
        <v/>
      </c>
    </row>
    <row r="96" spans="1:8" x14ac:dyDescent="0.35">
      <c r="A96" s="4" t="str">
        <f>IF(B96="","",'Raw Data'!F96)</f>
        <v/>
      </c>
      <c r="C96" s="3" t="str">
        <f>IFERROR((COUNTIFS('Raw Data'!$I:$I, Metrics!$B96, 'Raw Data'!$B:$B, "Successful")/COUNTIF('Raw Data'!$I:$I, Metrics!$B96)),"")</f>
        <v/>
      </c>
      <c r="D96" s="3"/>
      <c r="E96" s="3" t="str">
        <f>IFERROR((COUNTIFS('Raw Data'!$I:$I, Metrics!$B96,'Raw Data'!$D:$D, "CategoryName is Null for the SR")/COUNTIF('Raw Data'!$I:$I, Metrics!$B96)),"")</f>
        <v/>
      </c>
      <c r="F96" s="3" t="str">
        <f>IFERROR(COUNTIFS('Raw Data'!$I:$I,Metrics!$B96,'Raw Data'!$D:$D,"*Category name or queue name not found in lookup Sheet*")/COUNTIF('Raw Data'!$I:$I,Metrics!$B96),"")</f>
        <v/>
      </c>
      <c r="G96" s="3" t="str">
        <f>IFERROR((COUNTIFS('Raw Data'!$I:$I, Metrics!$B96,'Raw Data'!$D:$D, "SR Status is already updated")/COUNTIF('Raw Data'!$I:$I, Metrics!$B96)),"")</f>
        <v/>
      </c>
      <c r="H96" s="3" t="str">
        <f>IFERROR((COUNTIFS('Raw Data'!$I:$I, Metrics!$B96,'Raw Data'!$D:$D, "*SR Failed to Update*")/COUNTIF('Raw Data'!$I:$I, Metrics!$B96)),"")</f>
        <v/>
      </c>
    </row>
    <row r="97" spans="1:8" x14ac:dyDescent="0.35">
      <c r="A97" s="4" t="str">
        <f>IF(B97="","",'Raw Data'!F97)</f>
        <v/>
      </c>
      <c r="C97" s="3" t="str">
        <f>IFERROR((COUNTIFS('Raw Data'!$I:$I, Metrics!$B97, 'Raw Data'!$B:$B, "Successful")/COUNTIF('Raw Data'!$I:$I, Metrics!$B97)),"")</f>
        <v/>
      </c>
      <c r="D97" s="3"/>
      <c r="E97" s="3" t="str">
        <f>IFERROR((COUNTIFS('Raw Data'!$I:$I, Metrics!$B97,'Raw Data'!$D:$D, "CategoryName is Null for the SR")/COUNTIF('Raw Data'!$I:$I, Metrics!$B97)),"")</f>
        <v/>
      </c>
      <c r="F97" s="3" t="str">
        <f>IFERROR(COUNTIFS('Raw Data'!$I:$I,Metrics!$B97,'Raw Data'!$D:$D,"*Category name or queue name not found in lookup Sheet*")/COUNTIF('Raw Data'!$I:$I,Metrics!$B97),"")</f>
        <v/>
      </c>
      <c r="G97" s="3" t="str">
        <f>IFERROR((COUNTIFS('Raw Data'!$I:$I, Metrics!$B97,'Raw Data'!$D:$D, "SR Status is already updated")/COUNTIF('Raw Data'!$I:$I, Metrics!$B97)),"")</f>
        <v/>
      </c>
      <c r="H97" s="3" t="str">
        <f>IFERROR((COUNTIFS('Raw Data'!$I:$I, Metrics!$B97,'Raw Data'!$D:$D, "*SR Failed to Update*")/COUNTIF('Raw Data'!$I:$I, Metrics!$B97)),"")</f>
        <v/>
      </c>
    </row>
    <row r="98" spans="1:8" x14ac:dyDescent="0.35">
      <c r="A98" s="4" t="str">
        <f>IF(B98="","",'Raw Data'!F98)</f>
        <v/>
      </c>
      <c r="C98" s="3" t="str">
        <f>IFERROR((COUNTIFS('Raw Data'!$I:$I, Metrics!$B98, 'Raw Data'!$B:$B, "Successful")/COUNTIF('Raw Data'!$I:$I, Metrics!$B98)),"")</f>
        <v/>
      </c>
      <c r="D98" s="3"/>
      <c r="E98" s="3" t="str">
        <f>IFERROR((COUNTIFS('Raw Data'!$I:$I, Metrics!$B98,'Raw Data'!$D:$D, "CategoryName is Null for the SR")/COUNTIF('Raw Data'!$I:$I, Metrics!$B98)),"")</f>
        <v/>
      </c>
      <c r="F98" s="3" t="str">
        <f>IFERROR(COUNTIFS('Raw Data'!$I:$I,Metrics!$B98,'Raw Data'!$D:$D,"*Category name or queue name not found in lookup Sheet*")/COUNTIF('Raw Data'!$I:$I,Metrics!$B98),"")</f>
        <v/>
      </c>
      <c r="G98" s="3" t="str">
        <f>IFERROR((COUNTIFS('Raw Data'!$I:$I, Metrics!$B98,'Raw Data'!$D:$D, "SR Status is already updated")/COUNTIF('Raw Data'!$I:$I, Metrics!$B98)),"")</f>
        <v/>
      </c>
      <c r="H98" s="3" t="str">
        <f>IFERROR((COUNTIFS('Raw Data'!$I:$I, Metrics!$B98,'Raw Data'!$D:$D, "*SR Failed to Update*")/COUNTIF('Raw Data'!$I:$I, Metrics!$B98)),"")</f>
        <v/>
      </c>
    </row>
    <row r="99" spans="1:8" x14ac:dyDescent="0.35">
      <c r="A99" s="4" t="str">
        <f>IF(B99="","",'Raw Data'!F99)</f>
        <v/>
      </c>
      <c r="C99" s="3" t="str">
        <f>IFERROR((COUNTIFS('Raw Data'!$I:$I, Metrics!$B99, 'Raw Data'!$B:$B, "Successful")/COUNTIF('Raw Data'!$I:$I, Metrics!$B99)),"")</f>
        <v/>
      </c>
      <c r="D99" s="3"/>
      <c r="E99" s="3" t="str">
        <f>IFERROR((COUNTIFS('Raw Data'!$I:$I, Metrics!$B99,'Raw Data'!$D:$D, "CategoryName is Null for the SR")/COUNTIF('Raw Data'!$I:$I, Metrics!$B99)),"")</f>
        <v/>
      </c>
      <c r="F99" s="3" t="str">
        <f>IFERROR(COUNTIFS('Raw Data'!$I:$I,Metrics!$B99,'Raw Data'!$D:$D,"*Category name or queue name not found in lookup Sheet*")/COUNTIF('Raw Data'!$I:$I,Metrics!$B99),"")</f>
        <v/>
      </c>
      <c r="G99" s="3" t="str">
        <f>IFERROR((COUNTIFS('Raw Data'!$I:$I, Metrics!$B99,'Raw Data'!$D:$D, "SR Status is already updated")/COUNTIF('Raw Data'!$I:$I, Metrics!$B99)),"")</f>
        <v/>
      </c>
      <c r="H99" s="3" t="str">
        <f>IFERROR((COUNTIFS('Raw Data'!$I:$I, Metrics!$B99,'Raw Data'!$D:$D, "*SR Failed to Update*")/COUNTIF('Raw Data'!$I:$I, Metrics!$B99)),"")</f>
        <v/>
      </c>
    </row>
    <row r="100" spans="1:8" x14ac:dyDescent="0.35">
      <c r="A100" s="4" t="str">
        <f>IF(B100="","",'Raw Data'!F100)</f>
        <v/>
      </c>
      <c r="C100" s="3" t="str">
        <f>IFERROR((COUNTIFS('Raw Data'!$I:$I, Metrics!$B100, 'Raw Data'!$B:$B, "Successful")/COUNTIF('Raw Data'!$I:$I, Metrics!$B100)),"")</f>
        <v/>
      </c>
      <c r="D100" s="3"/>
      <c r="E100" s="3" t="str">
        <f>IFERROR((COUNTIFS('Raw Data'!$I:$I, Metrics!$B100,'Raw Data'!$D:$D, "CategoryName is Null for the SR")/COUNTIF('Raw Data'!$I:$I, Metrics!$B100)),"")</f>
        <v/>
      </c>
      <c r="F100" s="3" t="str">
        <f>IFERROR(COUNTIFS('Raw Data'!$I:$I,Metrics!$B100,'Raw Data'!$D:$D,"*Category name or queue name not found in lookup Sheet*")/COUNTIF('Raw Data'!$I:$I,Metrics!$B100),"")</f>
        <v/>
      </c>
      <c r="G100" s="3" t="str">
        <f>IFERROR((COUNTIFS('Raw Data'!$I:$I, Metrics!$B100,'Raw Data'!$D:$D, "SR Status is already updated")/COUNTIF('Raw Data'!$I:$I, Metrics!$B100)),"")</f>
        <v/>
      </c>
      <c r="H100" s="3" t="str">
        <f>IFERROR((COUNTIFS('Raw Data'!$I:$I, Metrics!$B100,'Raw Data'!$D:$D, "*SR Failed to Update*")/COUNTIF('Raw Data'!$I:$I, Metrics!$B100)),"")</f>
        <v/>
      </c>
    </row>
    <row r="101" spans="1:8" x14ac:dyDescent="0.35">
      <c r="A101" s="4" t="str">
        <f>IF(B101="","",'Raw Data'!F101)</f>
        <v/>
      </c>
      <c r="C101" s="3" t="str">
        <f>IFERROR((COUNTIFS('Raw Data'!$I:$I, Metrics!$B101, 'Raw Data'!$B:$B, "Successful")/COUNTIF('Raw Data'!$I:$I, Metrics!$B101)),"")</f>
        <v/>
      </c>
      <c r="D101" s="3"/>
      <c r="E101" s="3" t="str">
        <f>IFERROR((COUNTIFS('Raw Data'!$I:$I, Metrics!$B101,'Raw Data'!$D:$D, "CategoryName is Null for the SR")/COUNTIF('Raw Data'!$I:$I, Metrics!$B101)),"")</f>
        <v/>
      </c>
      <c r="F101" s="3" t="str">
        <f>IFERROR(COUNTIFS('Raw Data'!$I:$I,Metrics!$B101,'Raw Data'!$D:$D,"*Category name or queue name not found in lookup Sheet*")/COUNTIF('Raw Data'!$I:$I,Metrics!$B101),"")</f>
        <v/>
      </c>
      <c r="G101" s="3" t="str">
        <f>IFERROR((COUNTIFS('Raw Data'!$I:$I, Metrics!$B101,'Raw Data'!$D:$D, "SR Status is already updated")/COUNTIF('Raw Data'!$I:$I, Metrics!$B101)),"")</f>
        <v/>
      </c>
      <c r="H101" s="3" t="str">
        <f>IFERROR((COUNTIFS('Raw Data'!$I:$I, Metrics!$B101,'Raw Data'!$D:$D, "*SR Failed to Update*")/COUNTIF('Raw Data'!$I:$I, Metrics!$B101)),"")</f>
        <v/>
      </c>
    </row>
    <row r="102" spans="1:8" x14ac:dyDescent="0.35">
      <c r="A102" s="4" t="str">
        <f>IF(B102="","",'Raw Data'!F102)</f>
        <v/>
      </c>
      <c r="C102" s="3" t="str">
        <f>IFERROR((COUNTIFS('Raw Data'!$I:$I, Metrics!$B102, 'Raw Data'!$B:$B, "Successful")/COUNTIF('Raw Data'!$I:$I, Metrics!$B102)),"")</f>
        <v/>
      </c>
      <c r="D102" s="3"/>
      <c r="E102" s="3" t="str">
        <f>IFERROR((COUNTIFS('Raw Data'!$I:$I, Metrics!$B102,'Raw Data'!$D:$D, "CategoryName is Null for the SR")/COUNTIF('Raw Data'!$I:$I, Metrics!$B102)),"")</f>
        <v/>
      </c>
      <c r="F102" s="3" t="str">
        <f>IFERROR(COUNTIFS('Raw Data'!$I:$I,Metrics!$B102,'Raw Data'!$D:$D,"*Category name or queue name not found in lookup Sheet*")/COUNTIF('Raw Data'!$I:$I,Metrics!$B102),"")</f>
        <v/>
      </c>
      <c r="G102" s="3" t="str">
        <f>IFERROR((COUNTIFS('Raw Data'!$I:$I, Metrics!$B102,'Raw Data'!$D:$D, "SR Status is already updated")/COUNTIF('Raw Data'!$I:$I, Metrics!$B102)),"")</f>
        <v/>
      </c>
      <c r="H102" s="3" t="str">
        <f>IFERROR((COUNTIFS('Raw Data'!$I:$I, Metrics!$B102,'Raw Data'!$D:$D, "*SR Failed to Update*")/COUNTIF('Raw Data'!$I:$I, Metrics!$B102)),"")</f>
        <v/>
      </c>
    </row>
    <row r="103" spans="1:8" x14ac:dyDescent="0.35">
      <c r="A103" s="4" t="str">
        <f>IF(B103="","",'Raw Data'!F103)</f>
        <v/>
      </c>
      <c r="C103" s="3" t="str">
        <f>IFERROR((COUNTIFS('Raw Data'!$I:$I, Metrics!$B103, 'Raw Data'!$B:$B, "Successful")/COUNTIF('Raw Data'!$I:$I, Metrics!$B103)),"")</f>
        <v/>
      </c>
      <c r="D103" s="3"/>
      <c r="E103" s="3" t="str">
        <f>IFERROR((COUNTIFS('Raw Data'!$I:$I, Metrics!$B103,'Raw Data'!$D:$D, "CategoryName is Null for the SR")/COUNTIF('Raw Data'!$I:$I, Metrics!$B103)),"")</f>
        <v/>
      </c>
      <c r="F103" s="3" t="str">
        <f>IFERROR(COUNTIFS('Raw Data'!$I:$I,Metrics!$B103,'Raw Data'!$D:$D,"*Category name or queue name not found in lookup Sheet*")/COUNTIF('Raw Data'!$I:$I,Metrics!$B103),"")</f>
        <v/>
      </c>
      <c r="G103" s="3" t="str">
        <f>IFERROR((COUNTIFS('Raw Data'!$I:$I, Metrics!$B103,'Raw Data'!$D:$D, "SR Status is already updated")/COUNTIF('Raw Data'!$I:$I, Metrics!$B103)),"")</f>
        <v/>
      </c>
      <c r="H103" s="3" t="str">
        <f>IFERROR((COUNTIFS('Raw Data'!$I:$I, Metrics!$B103,'Raw Data'!$D:$D, "*SR Failed to Update*")/COUNTIF('Raw Data'!$I:$I, Metrics!$B103)),"")</f>
        <v/>
      </c>
    </row>
    <row r="104" spans="1:8" x14ac:dyDescent="0.35">
      <c r="A104" s="4" t="str">
        <f>IF(B104="","",'Raw Data'!F104)</f>
        <v/>
      </c>
      <c r="C104" s="3" t="str">
        <f>IFERROR((COUNTIFS('Raw Data'!$I:$I, Metrics!$B104, 'Raw Data'!$B:$B, "Successful")/COUNTIF('Raw Data'!$I:$I, Metrics!$B104)),"")</f>
        <v/>
      </c>
      <c r="D104" s="3"/>
      <c r="E104" s="3" t="str">
        <f>IFERROR((COUNTIFS('Raw Data'!$I:$I, Metrics!$B104,'Raw Data'!$D:$D, "CategoryName is Null for the SR")/COUNTIF('Raw Data'!$I:$I, Metrics!$B104)),"")</f>
        <v/>
      </c>
      <c r="F104" s="3" t="str">
        <f>IFERROR(COUNTIFS('Raw Data'!$I:$I,Metrics!$B104,'Raw Data'!$D:$D,"*Category name or queue name not found in lookup Sheet*")/COUNTIF('Raw Data'!$I:$I,Metrics!$B104),"")</f>
        <v/>
      </c>
      <c r="G104" s="3" t="str">
        <f>IFERROR((COUNTIFS('Raw Data'!$I:$I, Metrics!$B104,'Raw Data'!$D:$D, "SR Status is already updated")/COUNTIF('Raw Data'!$I:$I, Metrics!$B104)),"")</f>
        <v/>
      </c>
      <c r="H104" s="3" t="str">
        <f>IFERROR((COUNTIFS('Raw Data'!$I:$I, Metrics!$B104,'Raw Data'!$D:$D, "*SR Failed to Update*")/COUNTIF('Raw Data'!$I:$I, Metrics!$B104)),"")</f>
        <v/>
      </c>
    </row>
    <row r="105" spans="1:8" x14ac:dyDescent="0.35">
      <c r="A105" s="4" t="str">
        <f>IF(B105="","",'Raw Data'!F105)</f>
        <v/>
      </c>
      <c r="C105" s="3" t="str">
        <f>IFERROR((COUNTIFS('Raw Data'!$I:$I, Metrics!$B105, 'Raw Data'!$B:$B, "Successful")/COUNTIF('Raw Data'!$I:$I, Metrics!$B105)),"")</f>
        <v/>
      </c>
      <c r="D105" s="3"/>
      <c r="E105" s="3" t="str">
        <f>IFERROR((COUNTIFS('Raw Data'!$I:$I, Metrics!$B105,'Raw Data'!$D:$D, "CategoryName is Null for the SR")/COUNTIF('Raw Data'!$I:$I, Metrics!$B105)),"")</f>
        <v/>
      </c>
      <c r="F105" s="3" t="str">
        <f>IFERROR(COUNTIFS('Raw Data'!$I:$I,Metrics!$B105,'Raw Data'!$D:$D,"*Category name or queue name not found in lookup Sheet*")/COUNTIF('Raw Data'!$I:$I,Metrics!$B105),"")</f>
        <v/>
      </c>
      <c r="G105" s="3" t="str">
        <f>IFERROR((COUNTIFS('Raw Data'!$I:$I, Metrics!$B105,'Raw Data'!$D:$D, "SR Status is already updated")/COUNTIF('Raw Data'!$I:$I, Metrics!$B105)),"")</f>
        <v/>
      </c>
      <c r="H105" s="3" t="str">
        <f>IFERROR((COUNTIFS('Raw Data'!$I:$I, Metrics!$B105,'Raw Data'!$D:$D, "*SR Failed to Update*")/COUNTIF('Raw Data'!$I:$I, Metrics!$B105)),"")</f>
        <v/>
      </c>
    </row>
    <row r="106" spans="1:8" x14ac:dyDescent="0.35">
      <c r="A106" s="4" t="str">
        <f>IF(B106="","",'Raw Data'!F106)</f>
        <v/>
      </c>
      <c r="C106" s="3" t="str">
        <f>IFERROR((COUNTIFS('Raw Data'!$I:$I, Metrics!$B106, 'Raw Data'!$B:$B, "Successful")/COUNTIF('Raw Data'!$I:$I, Metrics!$B106)),"")</f>
        <v/>
      </c>
      <c r="D106" s="3"/>
      <c r="E106" s="3" t="str">
        <f>IFERROR((COUNTIFS('Raw Data'!$I:$I, Metrics!$B106,'Raw Data'!$D:$D, "CategoryName is Null for the SR")/COUNTIF('Raw Data'!$I:$I, Metrics!$B106)),"")</f>
        <v/>
      </c>
      <c r="F106" s="3" t="str">
        <f>IFERROR(COUNTIFS('Raw Data'!$I:$I,Metrics!$B106,'Raw Data'!$D:$D,"*Category name or queue name not found in lookup Sheet*")/COUNTIF('Raw Data'!$I:$I,Metrics!$B106),"")</f>
        <v/>
      </c>
      <c r="G106" s="3" t="str">
        <f>IFERROR((COUNTIFS('Raw Data'!$I:$I, Metrics!$B106,'Raw Data'!$D:$D, "SR Status is already updated")/COUNTIF('Raw Data'!$I:$I, Metrics!$B106)),"")</f>
        <v/>
      </c>
      <c r="H106" s="3" t="str">
        <f>IFERROR((COUNTIFS('Raw Data'!$I:$I, Metrics!$B106,'Raw Data'!$D:$D, "*SR Failed to Update*")/COUNTIF('Raw Data'!$I:$I, Metrics!$B106)),"")</f>
        <v/>
      </c>
    </row>
    <row r="107" spans="1:8" x14ac:dyDescent="0.35">
      <c r="A107" s="4" t="str">
        <f>IF(B107="","",'Raw Data'!F107)</f>
        <v/>
      </c>
      <c r="C107" s="3" t="str">
        <f>IFERROR((COUNTIFS('Raw Data'!$I:$I, Metrics!$B107, 'Raw Data'!$B:$B, "Successful")/COUNTIF('Raw Data'!$I:$I, Metrics!$B107)),"")</f>
        <v/>
      </c>
      <c r="D107" s="3"/>
      <c r="E107" s="3" t="str">
        <f>IFERROR((COUNTIFS('Raw Data'!$I:$I, Metrics!$B107,'Raw Data'!$D:$D, "CategoryName is Null for the SR")/COUNTIF('Raw Data'!$I:$I, Metrics!$B107)),"")</f>
        <v/>
      </c>
      <c r="F107" s="3" t="str">
        <f>IFERROR(COUNTIFS('Raw Data'!$I:$I,Metrics!$B107,'Raw Data'!$D:$D,"*Category name or queue name not found in lookup Sheet*")/COUNTIF('Raw Data'!$I:$I,Metrics!$B107),"")</f>
        <v/>
      </c>
      <c r="G107" s="3" t="str">
        <f>IFERROR((COUNTIFS('Raw Data'!$I:$I, Metrics!$B107,'Raw Data'!$D:$D, "SR Status is already updated")/COUNTIF('Raw Data'!$I:$I, Metrics!$B107)),"")</f>
        <v/>
      </c>
    </row>
    <row r="108" spans="1:8" x14ac:dyDescent="0.35">
      <c r="A108" s="4" t="str">
        <f>IF(B108="","",'Raw Data'!F108)</f>
        <v/>
      </c>
      <c r="C108" s="3" t="str">
        <f>IFERROR((COUNTIFS('Raw Data'!$I:$I, Metrics!$B108, 'Raw Data'!$B:$B, "Successful")/COUNTIF('Raw Data'!$I:$I, Metrics!$B108)),"")</f>
        <v/>
      </c>
      <c r="D108" s="3"/>
      <c r="E108" s="3" t="str">
        <f>IFERROR((COUNTIFS('Raw Data'!$I:$I, Metrics!$B108,'Raw Data'!$D:$D, "CategoryName is Null for the SR")/COUNTIF('Raw Data'!$I:$I, Metrics!$B108)),"")</f>
        <v/>
      </c>
      <c r="F108" s="3" t="str">
        <f>IFERROR(COUNTIFS('Raw Data'!$I:$I,Metrics!$B108,'Raw Data'!$D:$D,"*Category name or queue name not found in lookup Sheet*")/COUNTIF('Raw Data'!$I:$I,Metrics!$B108),"")</f>
        <v/>
      </c>
      <c r="G108" s="3" t="str">
        <f>IFERROR((COUNTIFS('Raw Data'!$I:$I, Metrics!$B108,'Raw Data'!$D:$D, "SR Status is already updated")/COUNTIF('Raw Data'!$I:$I, Metrics!$B108)),"")</f>
        <v/>
      </c>
    </row>
    <row r="109" spans="1:8" x14ac:dyDescent="0.35">
      <c r="A109" s="4" t="str">
        <f>IF(B109="","",'Raw Data'!F109)</f>
        <v/>
      </c>
      <c r="C109" s="3" t="str">
        <f>IFERROR((COUNTIFS('Raw Data'!$I:$I, Metrics!$B109, 'Raw Data'!$B:$B, "Successful")/COUNTIF('Raw Data'!$I:$I, Metrics!$B109)),"")</f>
        <v/>
      </c>
      <c r="D109" s="3"/>
      <c r="E109" s="3" t="str">
        <f>IFERROR((COUNTIFS('Raw Data'!$I:$I, Metrics!$B109,'Raw Data'!$D:$D, "CategoryName is Null for the SR")/COUNTIF('Raw Data'!$I:$I, Metrics!$B109)),"")</f>
        <v/>
      </c>
      <c r="F109" s="3" t="str">
        <f>IFERROR(COUNTIFS('Raw Data'!$I:$I,Metrics!$B109,'Raw Data'!$D:$D,"*Category name or queue name not found in lookup Sheet*")/COUNTIF('Raw Data'!$I:$I,Metrics!$B109),"")</f>
        <v/>
      </c>
      <c r="G109" s="3" t="str">
        <f>IFERROR((COUNTIFS('Raw Data'!$I:$I, Metrics!$B109,'Raw Data'!$D:$D, "SR Status is already updated")/COUNTIF('Raw Data'!$I:$I, Metrics!$B109)),"")</f>
        <v/>
      </c>
    </row>
    <row r="110" spans="1:8" x14ac:dyDescent="0.35">
      <c r="A110" s="4" t="str">
        <f>IF(B110="","",'Raw Data'!F110)</f>
        <v/>
      </c>
      <c r="C110" s="3" t="str">
        <f>IFERROR((COUNTIFS('Raw Data'!$I:$I, Metrics!$B110, 'Raw Data'!$B:$B, "Successful")/COUNTIF('Raw Data'!$I:$I, Metrics!$B110)),"")</f>
        <v/>
      </c>
      <c r="D110" s="3"/>
      <c r="E110" s="3" t="str">
        <f>IFERROR((COUNTIFS('Raw Data'!$I:$I, Metrics!$B110,'Raw Data'!$D:$D, "CategoryName is Null for the SR")/COUNTIF('Raw Data'!$I:$I, Metrics!$B110)),"")</f>
        <v/>
      </c>
      <c r="F110" s="3" t="str">
        <f>IFERROR(COUNTIFS('Raw Data'!$I:$I,Metrics!$B110,'Raw Data'!$D:$D,"*Category name or queue name not found in lookup Sheet*")/COUNTIF('Raw Data'!$I:$I,Metrics!$B110),"")</f>
        <v/>
      </c>
      <c r="G110" s="3" t="str">
        <f>IFERROR((COUNTIFS('Raw Data'!$I:$I, Metrics!$B110,'Raw Data'!$D:$D, "SR Status is already updated")/COUNTIF('Raw Data'!$I:$I, Metrics!$B110)),"")</f>
        <v/>
      </c>
    </row>
    <row r="111" spans="1:8" x14ac:dyDescent="0.35">
      <c r="C111" s="3" t="str">
        <f>IFERROR((COUNTIFS('Raw Data'!$I:$I, Metrics!$B111, 'Raw Data'!$B:$B, "Successful")/COUNTIF('Raw Data'!$I:$I, Metrics!$B111)),"")</f>
        <v/>
      </c>
      <c r="D111" s="3"/>
      <c r="E111" s="3" t="str">
        <f>IFERROR((COUNTIFS('Raw Data'!$I:$I, Metrics!$B111,'Raw Data'!$D:$D, "CategoryName is Null for the SR")/COUNTIF('Raw Data'!$I:$I, Metrics!$B111)),"")</f>
        <v/>
      </c>
      <c r="F111" s="3" t="str">
        <f>IFERROR(COUNTIFS('Raw Data'!$I:$I,Metrics!$B111,'Raw Data'!$D:$D,"*Category name or queue name not found in lookup Sheet*")/COUNTIF('Raw Data'!$I:$I,Metrics!$B111),"")</f>
        <v/>
      </c>
      <c r="G111" s="3" t="str">
        <f>IFERROR((COUNTIFS('Raw Data'!$I:$I, Metrics!$B111,'Raw Data'!$D:$D, "SR Status is already updated")/COUNTIF('Raw Data'!$I:$I, Metrics!$B111)),"")</f>
        <v/>
      </c>
    </row>
    <row r="112" spans="1:8" x14ac:dyDescent="0.35">
      <c r="C112" s="3" t="str">
        <f>IFERROR((COUNTIFS('Raw Data'!$I:$I, Metrics!$B112, 'Raw Data'!$B:$B, "Successful")/COUNTIF('Raw Data'!$I:$I, Metrics!$B112)),"")</f>
        <v/>
      </c>
      <c r="D112" s="3"/>
      <c r="E112" s="3" t="str">
        <f>IFERROR((COUNTIFS('Raw Data'!$I:$I, Metrics!$B112,'Raw Data'!$D:$D, "CategoryName is Null for the SR")/COUNTIF('Raw Data'!$I:$I, Metrics!$B112)),"")</f>
        <v/>
      </c>
      <c r="F112" s="3" t="str">
        <f>IFERROR(COUNTIFS('Raw Data'!$I:$I,Metrics!$B112,'Raw Data'!$D:$D,"*Category name or queue name not found in lookup Sheet*")/COUNTIF('Raw Data'!$I:$I,Metrics!$B112),"")</f>
        <v/>
      </c>
      <c r="G112" s="3" t="str">
        <f>IFERROR((COUNTIFS('Raw Data'!$I:$I, Metrics!$B112,'Raw Data'!$D:$D, "SR Status is already updated")/COUNTIF('Raw Data'!$I:$I, Metrics!$B112)),"")</f>
        <v/>
      </c>
    </row>
    <row r="113" spans="3:7" x14ac:dyDescent="0.35">
      <c r="C113" s="3" t="str">
        <f>IFERROR((COUNTIFS('Raw Data'!$I:$I, Metrics!$B113, 'Raw Data'!$B:$B, "Successful")/COUNTIF('Raw Data'!$I:$I, Metrics!$B113)),"")</f>
        <v/>
      </c>
      <c r="D113" s="3"/>
      <c r="E113" s="3" t="str">
        <f>IFERROR((COUNTIFS('Raw Data'!$I:$I, Metrics!$B113,'Raw Data'!$D:$D, "CategoryName is Null for the SR")/COUNTIF('Raw Data'!$I:$I, Metrics!$B113)),"")</f>
        <v/>
      </c>
      <c r="F113" s="3" t="str">
        <f>IFERROR(COUNTIFS('Raw Data'!$I:$I,Metrics!$B113,'Raw Data'!$D:$D,"*Category name or queue name not found in lookup Sheet*")/COUNTIF('Raw Data'!$I:$I,Metrics!$B113),"")</f>
        <v/>
      </c>
      <c r="G113" s="3" t="str">
        <f>IFERROR((COUNTIFS('Raw Data'!$I:$I, Metrics!$B113,'Raw Data'!$D:$D, "SR Status is already updated")/COUNTIF('Raw Data'!$I:$I, Metrics!$B113)),"")</f>
        <v/>
      </c>
    </row>
    <row r="114" spans="3:7" x14ac:dyDescent="0.35">
      <c r="C114" s="3" t="str">
        <f>IFERROR((COUNTIFS('Raw Data'!$I:$I, Metrics!$B114, 'Raw Data'!$B:$B, "Successful")/COUNTIF('Raw Data'!$I:$I, Metrics!$B114)),"")</f>
        <v/>
      </c>
      <c r="D114" s="3"/>
      <c r="E114" s="3" t="str">
        <f>IFERROR((COUNTIFS('Raw Data'!$I:$I, Metrics!$B114,'Raw Data'!$D:$D, "CategoryName is Null for the SR")/COUNTIF('Raw Data'!$I:$I, Metrics!$B114)),"")</f>
        <v/>
      </c>
      <c r="F114" s="3" t="str">
        <f>IFERROR(COUNTIFS('Raw Data'!$I:$I,Metrics!$B114,'Raw Data'!$D:$D,"*Category name or queue name not found in lookup Sheet*")/COUNTIF('Raw Data'!$I:$I,Metrics!$B114),"")</f>
        <v/>
      </c>
      <c r="G114" s="3" t="str">
        <f>IFERROR((COUNTIFS('Raw Data'!$I:$I, Metrics!$B114,'Raw Data'!$D:$D, "SR Status is already updated")/COUNTIF('Raw Data'!$I:$I, Metrics!$B114)),"")</f>
        <v/>
      </c>
    </row>
    <row r="115" spans="3:7" x14ac:dyDescent="0.35">
      <c r="C115" s="3" t="str">
        <f>IFERROR((COUNTIFS('Raw Data'!$I:$I, Metrics!$B115, 'Raw Data'!$B:$B, "Successful")/COUNTIF('Raw Data'!$I:$I, Metrics!$B115)),"")</f>
        <v/>
      </c>
      <c r="D115" s="3"/>
      <c r="E115" s="3" t="str">
        <f>IFERROR((COUNTIFS('Raw Data'!$I:$I, Metrics!$B115,'Raw Data'!$D:$D, "CategoryName is Null for the SR")/COUNTIF('Raw Data'!$I:$I, Metrics!$B115)),"")</f>
        <v/>
      </c>
      <c r="F115" s="3" t="str">
        <f>IFERROR(COUNTIFS('Raw Data'!$I:$I,Metrics!$B115,'Raw Data'!$D:$D,"*Category name or queue name not found in lookup Sheet*")/COUNTIF('Raw Data'!$I:$I,Metrics!$B115),"")</f>
        <v/>
      </c>
      <c r="G115" s="3" t="str">
        <f>IFERROR((COUNTIFS('Raw Data'!$I:$I, Metrics!$B115,'Raw Data'!$D:$D, "SR Status is already updated")/COUNTIF('Raw Data'!$I:$I, Metrics!$B115)),"")</f>
        <v/>
      </c>
    </row>
    <row r="116" spans="3:7" x14ac:dyDescent="0.35">
      <c r="C116" s="3" t="str">
        <f>IFERROR((COUNTIFS('Raw Data'!$I:$I, Metrics!$B116, 'Raw Data'!$B:$B, "Successful")/COUNTIF('Raw Data'!$I:$I, Metrics!$B116)),"")</f>
        <v/>
      </c>
      <c r="D116" s="3"/>
      <c r="E116" s="3" t="str">
        <f>IFERROR((COUNTIFS('Raw Data'!$I:$I, Metrics!$B116,'Raw Data'!$D:$D, "CategoryName is Null for the SR")/COUNTIF('Raw Data'!$I:$I, Metrics!$B116)),"")</f>
        <v/>
      </c>
      <c r="F116" s="3" t="str">
        <f>IFERROR(COUNTIFS('Raw Data'!$I:$I,Metrics!$B116,'Raw Data'!$D:$D,"*Category name or queue name not found in lookup Sheet*")/COUNTIF('Raw Data'!$I:$I,Metrics!$B116),"")</f>
        <v/>
      </c>
      <c r="G116" s="3" t="str">
        <f>IFERROR((COUNTIFS('Raw Data'!$I:$I, Metrics!$B116,'Raw Data'!$D:$D, "SR Status is already updated")/COUNTIF('Raw Data'!$I:$I, Metrics!$B116)),"")</f>
        <v/>
      </c>
    </row>
    <row r="117" spans="3:7" x14ac:dyDescent="0.35">
      <c r="C117" s="3" t="str">
        <f>IFERROR((COUNTIFS('Raw Data'!$I:$I, Metrics!$B117, 'Raw Data'!$B:$B, "Successful")/COUNTIF('Raw Data'!$I:$I, Metrics!$B117)),"")</f>
        <v/>
      </c>
      <c r="D117" s="3"/>
      <c r="E117" s="3" t="str">
        <f>IFERROR((COUNTIFS('Raw Data'!$I:$I, Metrics!$B117,'Raw Data'!$D:$D, "CategoryName is Null for the SR")/COUNTIF('Raw Data'!$I:$I, Metrics!$B117)),"")</f>
        <v/>
      </c>
      <c r="F117" s="3" t="str">
        <f>IFERROR(COUNTIFS('Raw Data'!$I:$I,Metrics!$B117,'Raw Data'!$D:$D,"*Category name or queue name not found in lookup Sheet*")/COUNTIF('Raw Data'!$I:$I,Metrics!$B117),"")</f>
        <v/>
      </c>
      <c r="G117" s="3" t="str">
        <f>IFERROR((COUNTIFS('Raw Data'!$I:$I, Metrics!$B117,'Raw Data'!$D:$D, "SR Status is already updated")/COUNTIF('Raw Data'!$I:$I, Metrics!$B117)),"")</f>
        <v/>
      </c>
    </row>
    <row r="118" spans="3:7" x14ac:dyDescent="0.35">
      <c r="C118" s="3" t="str">
        <f>IFERROR((COUNTIFS('Raw Data'!$I:$I, Metrics!$B118, 'Raw Data'!$B:$B, "Successful")/COUNTIF('Raw Data'!$I:$I, Metrics!$B118)),"")</f>
        <v/>
      </c>
      <c r="D118" s="3"/>
      <c r="E118" s="3" t="str">
        <f>IFERROR((COUNTIFS('Raw Data'!$I:$I, Metrics!$B118,'Raw Data'!$D:$D, "CategoryName is Null for the SR")/COUNTIF('Raw Data'!$I:$I, Metrics!$B118)),"")</f>
        <v/>
      </c>
      <c r="F118" s="3" t="str">
        <f>IFERROR(COUNTIFS('Raw Data'!$I:$I,Metrics!$B118,'Raw Data'!$D:$D,"*Category name or queue name not found in lookup Sheet*")/COUNTIF('Raw Data'!$I:$I,Metrics!$B118),"")</f>
        <v/>
      </c>
      <c r="G118" s="3" t="str">
        <f>IFERROR((COUNTIFS('Raw Data'!$I:$I, Metrics!$B118,'Raw Data'!$D:$D, "SR Status is already updated")/COUNTIF('Raw Data'!$I:$I, Metrics!$B118)),"")</f>
        <v/>
      </c>
    </row>
    <row r="119" spans="3:7" x14ac:dyDescent="0.35">
      <c r="C119" s="3" t="str">
        <f>IFERROR((COUNTIFS('Raw Data'!$I:$I, Metrics!$B119, 'Raw Data'!$B:$B, "Successful")/COUNTIF('Raw Data'!$I:$I, Metrics!$B119)),"")</f>
        <v/>
      </c>
      <c r="D119" s="3"/>
      <c r="E119" s="3" t="str">
        <f>IFERROR((COUNTIFS('Raw Data'!$I:$I, Metrics!$B119,'Raw Data'!$D:$D, "CategoryName is Null for the SR")/COUNTIF('Raw Data'!$I:$I, Metrics!$B119)),"")</f>
        <v/>
      </c>
      <c r="F119" s="3" t="str">
        <f>IFERROR(COUNTIFS('Raw Data'!$I:$I,Metrics!$B119,'Raw Data'!$D:$D,"*Category name or queue name not found in lookup Sheet*")/COUNTIF('Raw Data'!$I:$I,Metrics!$B119),"")</f>
        <v/>
      </c>
      <c r="G119" s="3" t="str">
        <f>IFERROR((COUNTIFS('Raw Data'!$I:$I, Metrics!$B119,'Raw Data'!$D:$D, "SR Status is already updated")/COUNTIF('Raw Data'!$I:$I, Metrics!$B119)),"")</f>
        <v/>
      </c>
    </row>
    <row r="120" spans="3:7" x14ac:dyDescent="0.35">
      <c r="C120" s="3" t="str">
        <f>IFERROR((COUNTIFS('Raw Data'!$I:$I, Metrics!$B120, 'Raw Data'!$B:$B, "Successful")/COUNTIF('Raw Data'!$I:$I, Metrics!$B120)),"")</f>
        <v/>
      </c>
      <c r="D120" s="3"/>
      <c r="E120" s="3" t="str">
        <f>IFERROR((COUNTIFS('Raw Data'!$I:$I, Metrics!$B120,'Raw Data'!$D:$D, "CategoryName is Null for the SR")/COUNTIF('Raw Data'!$I:$I, Metrics!$B120)),"")</f>
        <v/>
      </c>
      <c r="F120" s="3" t="str">
        <f>IFERROR(COUNTIFS('Raw Data'!$I:$I,Metrics!$B120,'Raw Data'!$D:$D,"*Category name or queue name not found in lookup Sheet*")/COUNTIF('Raw Data'!$I:$I,Metrics!$B120),"")</f>
        <v/>
      </c>
      <c r="G120" s="3" t="str">
        <f>IFERROR((COUNTIFS('Raw Data'!$I:$I, Metrics!$B120,'Raw Data'!$D:$D, "SR Status is already updated")/COUNTIF('Raw Data'!$I:$I, Metrics!$B120)),"")</f>
        <v/>
      </c>
    </row>
    <row r="121" spans="3:7" x14ac:dyDescent="0.35">
      <c r="C121" s="3" t="str">
        <f>IFERROR((COUNTIFS('Raw Data'!$I:$I, Metrics!$B121, 'Raw Data'!$B:$B, "Successful")/COUNTIF('Raw Data'!$I:$I, Metrics!$B121)),"")</f>
        <v/>
      </c>
      <c r="D121" s="3"/>
      <c r="E121" s="3" t="str">
        <f>IFERROR((COUNTIFS('Raw Data'!$I:$I, Metrics!$B121,'Raw Data'!$D:$D, "CategoryName is Null for the SR")/COUNTIF('Raw Data'!$I:$I, Metrics!$B121)),"")</f>
        <v/>
      </c>
      <c r="F121" s="3" t="str">
        <f>IFERROR(COUNTIFS('Raw Data'!$I:$I,Metrics!$B121,'Raw Data'!$D:$D,"*Category name or queue name not found in lookup Sheet*")/COUNTIF('Raw Data'!$I:$I,Metrics!$B121),"")</f>
        <v/>
      </c>
      <c r="G121" s="3" t="str">
        <f>IFERROR((COUNTIFS('Raw Data'!$I:$I, Metrics!$B121,'Raw Data'!$D:$D, "SR Status is already updated")/COUNTIF('Raw Data'!$I:$I, Metrics!$B121)),"")</f>
        <v/>
      </c>
    </row>
    <row r="122" spans="3:7" x14ac:dyDescent="0.35">
      <c r="C122" s="3" t="str">
        <f>IFERROR((COUNTIFS('Raw Data'!$I:$I, Metrics!$B122, 'Raw Data'!$B:$B, "Successful")/COUNTIF('Raw Data'!$I:$I, Metrics!$B122)),"")</f>
        <v/>
      </c>
      <c r="D122" s="3"/>
      <c r="E122" s="3" t="str">
        <f>IFERROR((COUNTIFS('Raw Data'!$I:$I, Metrics!$B122,'Raw Data'!$D:$D, "CategoryName is Null for the SR")/COUNTIF('Raw Data'!$I:$I, Metrics!$B122)),"")</f>
        <v/>
      </c>
      <c r="F122" s="3" t="str">
        <f>IFERROR(COUNTIFS('Raw Data'!$I:$I,Metrics!$B122,'Raw Data'!$D:$D,"*Category name or queue name not found in lookup Sheet*")/COUNTIF('Raw Data'!$I:$I,Metrics!$B122),"")</f>
        <v/>
      </c>
      <c r="G122" s="3" t="str">
        <f>IFERROR((COUNTIFS('Raw Data'!$I:$I, Metrics!$B122,'Raw Data'!$D:$D, "SR Status is already updated")/COUNTIF('Raw Data'!$I:$I, Metrics!$B122)),"")</f>
        <v/>
      </c>
    </row>
    <row r="123" spans="3:7" x14ac:dyDescent="0.35">
      <c r="C123" s="3" t="str">
        <f>IFERROR((COUNTIFS('Raw Data'!$I:$I, Metrics!$B123, 'Raw Data'!$B:$B, "Successful")/COUNTIF('Raw Data'!$I:$I, Metrics!$B123)),"")</f>
        <v/>
      </c>
      <c r="D123" s="3"/>
      <c r="E123" s="3" t="str">
        <f>IFERROR((COUNTIFS('Raw Data'!$I:$I, Metrics!$B123,'Raw Data'!$D:$D, "CategoryName is Null for the SR")/COUNTIF('Raw Data'!$I:$I, Metrics!$B123)),"")</f>
        <v/>
      </c>
      <c r="F123" s="3" t="str">
        <f>IFERROR(COUNTIFS('Raw Data'!$I:$I,Metrics!$B123,'Raw Data'!$D:$D,"*Category name or queue name not found in lookup Sheet*")/COUNTIF('Raw Data'!$I:$I,Metrics!$B123),"")</f>
        <v/>
      </c>
      <c r="G123" s="3" t="str">
        <f>IFERROR((COUNTIFS('Raw Data'!$I:$I, Metrics!$B123,'Raw Data'!$D:$D, "SR Status is already updated")/COUNTIF('Raw Data'!$I:$I, Metrics!$B123)),"")</f>
        <v/>
      </c>
    </row>
    <row r="124" spans="3:7" x14ac:dyDescent="0.35">
      <c r="C124" s="3" t="str">
        <f>IFERROR((COUNTIFS('Raw Data'!$I:$I, Metrics!$B124, 'Raw Data'!$B:$B, "Successful")/COUNTIF('Raw Data'!$I:$I, Metrics!$B124)),"")</f>
        <v/>
      </c>
      <c r="D124" s="3"/>
      <c r="E124" s="3" t="str">
        <f>IFERROR((COUNTIFS('Raw Data'!$I:$I, Metrics!$B124,'Raw Data'!$D:$D, "CategoryName is Null for the SR")/COUNTIF('Raw Data'!$I:$I, Metrics!$B124)),"")</f>
        <v/>
      </c>
      <c r="F124" s="3" t="str">
        <f>IFERROR(COUNTIFS('Raw Data'!$I:$I,Metrics!$B124,'Raw Data'!$D:$D,"*Category name or queue name not found in lookup Sheet*")/COUNTIF('Raw Data'!$I:$I,Metrics!$B124),"")</f>
        <v/>
      </c>
      <c r="G124" s="3" t="str">
        <f>IFERROR((COUNTIFS('Raw Data'!$I:$I, Metrics!$B124,'Raw Data'!$D:$D, "SR Status is already updated")/COUNTIF('Raw Data'!$I:$I, Metrics!$B124)),"")</f>
        <v/>
      </c>
    </row>
    <row r="125" spans="3:7" x14ac:dyDescent="0.35">
      <c r="C125" s="3" t="str">
        <f>IFERROR((COUNTIFS('Raw Data'!$I:$I, Metrics!$B125, 'Raw Data'!$B:$B, "Successful")/COUNTIF('Raw Data'!$I:$I, Metrics!$B125)),"")</f>
        <v/>
      </c>
      <c r="D125" s="3"/>
      <c r="E125" s="3" t="str">
        <f>IFERROR((COUNTIFS('Raw Data'!$I:$I, Metrics!$B125,'Raw Data'!$D:$D, "CategoryName is Null for the SR")/COUNTIF('Raw Data'!$I:$I, Metrics!$B125)),"")</f>
        <v/>
      </c>
      <c r="F125" s="3" t="str">
        <f>IFERROR(COUNTIFS('Raw Data'!$I:$I,Metrics!$B125,'Raw Data'!$D:$D,"*Category name or queue name not found in lookup Sheet*")/COUNTIF('Raw Data'!$I:$I,Metrics!$B125),"")</f>
        <v/>
      </c>
      <c r="G125" s="3" t="str">
        <f>IFERROR((COUNTIFS('Raw Data'!$I:$I, Metrics!$B125,'Raw Data'!$D:$D, "SR Status is already updated")/COUNTIF('Raw Data'!$I:$I, Metrics!$B125)),"")</f>
        <v/>
      </c>
    </row>
    <row r="126" spans="3:7" x14ac:dyDescent="0.35">
      <c r="C126" s="3" t="str">
        <f>IFERROR((COUNTIFS('Raw Data'!$I:$I, Metrics!$B126, 'Raw Data'!$B:$B, "Successful")/COUNTIF('Raw Data'!$I:$I, Metrics!$B126)),"")</f>
        <v/>
      </c>
      <c r="D126" s="3"/>
      <c r="E126" s="3" t="str">
        <f>IFERROR((COUNTIFS('Raw Data'!$I:$I, Metrics!$B126,'Raw Data'!$D:$D, "CategoryName is Null for the SR")/COUNTIF('Raw Data'!$I:$I, Metrics!$B126)),"")</f>
        <v/>
      </c>
      <c r="F126" s="3" t="str">
        <f>IFERROR(COUNTIFS('Raw Data'!$I:$I,Metrics!$B126,'Raw Data'!$D:$D,"*Category name or queue name not found in lookup Sheet*")/COUNTIF('Raw Data'!$I:$I,Metrics!$B126),"")</f>
        <v/>
      </c>
      <c r="G126" s="3" t="str">
        <f>IFERROR((COUNTIFS('Raw Data'!$I:$I, Metrics!$B126,'Raw Data'!$D:$D, "SR Status is already updated")/COUNTIF('Raw Data'!$I:$I, Metrics!$B126)),"")</f>
        <v/>
      </c>
    </row>
    <row r="127" spans="3:7" x14ac:dyDescent="0.35">
      <c r="C127" s="3" t="str">
        <f>IFERROR((COUNTIFS('Raw Data'!$I:$I, Metrics!$B127, 'Raw Data'!$B:$B, "Successful")/COUNTIF('Raw Data'!$I:$I, Metrics!$B127)),"")</f>
        <v/>
      </c>
      <c r="D127" s="3"/>
      <c r="E127" s="3" t="str">
        <f>IFERROR((COUNTIFS('Raw Data'!$I:$I, Metrics!$B127,'Raw Data'!$D:$D, "CategoryName is Null for the SR")/COUNTIF('Raw Data'!$I:$I, Metrics!$B127)),"")</f>
        <v/>
      </c>
      <c r="F127" s="3" t="str">
        <f>IFERROR(COUNTIFS('Raw Data'!$I:$I,Metrics!$B127,'Raw Data'!$D:$D,"*Category name or queue name not found in lookup Sheet*")/COUNTIF('Raw Data'!$I:$I,Metrics!$B127),"")</f>
        <v/>
      </c>
      <c r="G127" s="3" t="str">
        <f>IFERROR((COUNTIFS('Raw Data'!$I:$I, Metrics!$B127,'Raw Data'!$D:$D, "SR Status is already updated")/COUNTIF('Raw Data'!$I:$I, Metrics!$B127)),"")</f>
        <v/>
      </c>
    </row>
    <row r="128" spans="3:7" x14ac:dyDescent="0.35">
      <c r="C128" s="3" t="str">
        <f>IFERROR((COUNTIFS('Raw Data'!$I:$I, Metrics!$B128, 'Raw Data'!$B:$B, "Successful")/COUNTIF('Raw Data'!$I:$I, Metrics!$B128)),"")</f>
        <v/>
      </c>
      <c r="D128" s="3"/>
      <c r="E128" s="3" t="str">
        <f>IFERROR((COUNTIFS('Raw Data'!$I:$I, Metrics!$B128,'Raw Data'!$D:$D, "CategoryName is Null for the SR")/COUNTIF('Raw Data'!$I:$I, Metrics!$B128)),"")</f>
        <v/>
      </c>
      <c r="F128" s="3" t="str">
        <f>IFERROR(COUNTIFS('Raw Data'!$I:$I,Metrics!$B128,'Raw Data'!$D:$D,"*Category name or queue name not found in lookup Sheet*")/COUNTIF('Raw Data'!$I:$I,Metrics!$B128),"")</f>
        <v/>
      </c>
      <c r="G128" s="3" t="str">
        <f>IFERROR((COUNTIFS('Raw Data'!$I:$I, Metrics!$B128,'Raw Data'!$D:$D, "SR Status is already updated")/COUNTIF('Raw Data'!$I:$I, Metrics!$B128)),"")</f>
        <v/>
      </c>
    </row>
    <row r="129" spans="3:7" x14ac:dyDescent="0.35">
      <c r="C129" s="3" t="str">
        <f>IFERROR((COUNTIFS('Raw Data'!$I:$I, Metrics!$B129, 'Raw Data'!$B:$B, "Successful")/COUNTIF('Raw Data'!$I:$I, Metrics!$B129)),"")</f>
        <v/>
      </c>
      <c r="D129" s="3"/>
      <c r="E129" s="3" t="str">
        <f>IFERROR((COUNTIFS('Raw Data'!$I:$I, Metrics!$B129,'Raw Data'!$D:$D, "CategoryName is Null for the SR")/COUNTIF('Raw Data'!$I:$I, Metrics!$B129)),"")</f>
        <v/>
      </c>
      <c r="G129" s="3" t="str">
        <f>IFERROR((COUNTIFS('Raw Data'!$I:$I, Metrics!$B129,'Raw Data'!$D:$D, "SR Status is already updated")/COUNTIF('Raw Data'!$I:$I, Metrics!$B129)),"")</f>
        <v/>
      </c>
    </row>
    <row r="130" spans="3:7" x14ac:dyDescent="0.35">
      <c r="C130" s="3" t="str">
        <f>IFERROR((COUNTIFS('Raw Data'!$I:$I, Metrics!$B130, 'Raw Data'!$B:$B, "Successful")/COUNTIF('Raw Data'!$I:$I, Metrics!$B130)),"")</f>
        <v/>
      </c>
      <c r="D130" s="3"/>
      <c r="E130" s="3" t="str">
        <f>IFERROR((COUNTIFS('Raw Data'!$I:$I, Metrics!$B130,'Raw Data'!$D:$D, "CategoryName is Null for the SR")/COUNTIF('Raw Data'!$I:$I, Metrics!$B130)),"")</f>
        <v/>
      </c>
      <c r="G130" s="3" t="str">
        <f>IFERROR((COUNTIFS('Raw Data'!$I:$I, Metrics!$B130,'Raw Data'!$D:$D, "SR Status is already updated")/COUNTIF('Raw Data'!$I:$I, Metrics!$B130)),"")</f>
        <v/>
      </c>
    </row>
    <row r="131" spans="3:7" x14ac:dyDescent="0.35">
      <c r="C131" s="3" t="str">
        <f>IFERROR((COUNTIFS('Raw Data'!$I:$I, Metrics!$B131, 'Raw Data'!$B:$B, "Successful")/COUNTIF('Raw Data'!$I:$I, Metrics!$B131)),"")</f>
        <v/>
      </c>
      <c r="D131" s="3"/>
    </row>
    <row r="132" spans="3:7" x14ac:dyDescent="0.35">
      <c r="C132" s="3" t="str">
        <f>IFERROR((COUNTIFS('Raw Data'!$I:$I, Metrics!$B132, 'Raw Data'!$B:$B, "Successful")/COUNTIF('Raw Data'!$I:$I, Metrics!$B132)),"")</f>
        <v/>
      </c>
      <c r="D132" s="3"/>
    </row>
    <row r="133" spans="3:7" x14ac:dyDescent="0.35">
      <c r="C133" s="3" t="str">
        <f>IFERROR((COUNTIFS('Raw Data'!$I:$I, Metrics!$B133, 'Raw Data'!$B:$B, "Successful")/COUNTIF('Raw Data'!$I:$I, Metrics!$B133)),"")</f>
        <v/>
      </c>
      <c r="D133" s="3"/>
    </row>
    <row r="134" spans="3:7" x14ac:dyDescent="0.35">
      <c r="C134" s="3" t="str">
        <f>IFERROR((COUNTIFS('Raw Data'!$I:$I, Metrics!$B134, 'Raw Data'!$B:$B, "Successful")/COUNTIF('Raw Data'!$I:$I, Metrics!$B134)),"")</f>
        <v/>
      </c>
      <c r="D134" s="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</dc:creator>
  <cp:lastModifiedBy>Julie Arago</cp:lastModifiedBy>
  <dcterms:created xsi:type="dcterms:W3CDTF">2020-11-04T11:05:46Z</dcterms:created>
  <dcterms:modified xsi:type="dcterms:W3CDTF">2021-08-06T17:01:36Z</dcterms:modified>
</cp:coreProperties>
</file>